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davi.magalhaes\Downloads\"/>
    </mc:Choice>
  </mc:AlternateContent>
  <xr:revisionPtr revIDLastSave="0" documentId="13_ncr:1_{0A2D63BA-44EC-49A5-AEEE-5C724DDAA2D4}" xr6:coauthVersionLast="47" xr6:coauthVersionMax="47" xr10:uidLastSave="{00000000-0000-0000-0000-000000000000}"/>
  <bookViews>
    <workbookView xWindow="-120" yWindow="-120" windowWidth="29040" windowHeight="15720" tabRatio="909" xr2:uid="{00000000-000D-0000-FFFF-FFFF00000000}"/>
  </bookViews>
  <sheets>
    <sheet name="Análise de dados" sheetId="245" r:id="rId1"/>
    <sheet name="Tabela 1" sheetId="2" r:id="rId2"/>
    <sheet name="Tabela 2" sheetId="4" r:id="rId3"/>
    <sheet name="Tabela 17.1" sheetId="123" r:id="rId4"/>
    <sheet name="Tabela 17.2" sheetId="124" r:id="rId5"/>
    <sheet name="Tabela 17.7" sheetId="129" r:id="rId6"/>
    <sheet name="Tabela 17.8" sheetId="130" r:id="rId7"/>
    <sheet name="Tabela 17.9" sheetId="131" r:id="rId8"/>
    <sheet name="Tabela 20.2" sheetId="152" r:id="rId9"/>
    <sheet name="Tabela 20.3" sheetId="153" r:id="rId10"/>
  </sheets>
  <definedNames>
    <definedName name="_xlnm._FilterDatabase" localSheetId="0" hidden="1">'Análise de dados'!$A$83:$C$83</definedName>
    <definedName name="_xlchart.v1.0" hidden="1">'Tabela 20.2'!$A$95:$A$98</definedName>
    <definedName name="_xlchart.v1.1" hidden="1">'Tabela 20.2'!$B$95:$B$98</definedName>
    <definedName name="_xlchart.v1.2" hidden="1">'Tabela 20.2'!$C$95:$C$98</definedName>
    <definedName name="_xlchart.v1.3" hidden="1">'Análise de dados'!$A$43:$A$46</definedName>
    <definedName name="_xlchart.v1.4" hidden="1">'Análise de dados'!$B$42</definedName>
    <definedName name="_xlchart.v1.5" hidden="1">'Análise de dados'!$B$43:$B$46</definedName>
    <definedName name="_xlchart.v1.6" hidden="1">'Análise de dados'!$C$42</definedName>
    <definedName name="_xlchart.v1.7" hidden="1">'Análise de dados'!$C$43:$C$46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245" l="1"/>
  <c r="C86" i="245"/>
  <c r="C87" i="245"/>
  <c r="C88" i="245"/>
  <c r="C89" i="245"/>
  <c r="C90" i="245"/>
  <c r="C91" i="245"/>
  <c r="C92" i="245"/>
  <c r="C93" i="245"/>
  <c r="C94" i="245"/>
  <c r="C95" i="245"/>
  <c r="C96" i="245"/>
  <c r="C97" i="245"/>
  <c r="C98" i="245"/>
  <c r="C99" i="245"/>
  <c r="C100" i="245"/>
  <c r="C101" i="245"/>
  <c r="C102" i="245"/>
  <c r="C84" i="245"/>
  <c r="B85" i="245"/>
  <c r="B86" i="245"/>
  <c r="B87" i="245"/>
  <c r="B88" i="245"/>
  <c r="B89" i="245"/>
  <c r="B90" i="245"/>
  <c r="B91" i="245"/>
  <c r="B92" i="245"/>
  <c r="B93" i="245"/>
  <c r="B94" i="245"/>
  <c r="B95" i="245"/>
  <c r="B96" i="245"/>
  <c r="B97" i="245"/>
  <c r="B98" i="245"/>
  <c r="B99" i="245"/>
  <c r="B100" i="245"/>
  <c r="B101" i="245"/>
  <c r="B102" i="245"/>
  <c r="B84" i="245"/>
  <c r="B60" i="245"/>
  <c r="D60" i="245"/>
  <c r="B61" i="245"/>
  <c r="B64" i="245"/>
  <c r="B65" i="245"/>
  <c r="B63" i="245"/>
  <c r="B62" i="245"/>
  <c r="B66" i="245"/>
  <c r="B67" i="245"/>
  <c r="B68" i="245"/>
  <c r="B69" i="245"/>
  <c r="B70" i="245"/>
  <c r="B71" i="245"/>
  <c r="B72" i="245"/>
  <c r="B73" i="245"/>
  <c r="B74" i="245"/>
  <c r="B76" i="245"/>
  <c r="B75" i="245"/>
  <c r="B78" i="245"/>
  <c r="B77" i="245"/>
  <c r="B79" i="245"/>
  <c r="D26" i="245"/>
  <c r="C26" i="245"/>
  <c r="B26" i="245"/>
  <c r="A26" i="245"/>
  <c r="C10" i="245"/>
  <c r="C9" i="245"/>
  <c r="B10" i="245"/>
  <c r="B9" i="245"/>
  <c r="D9" i="245" l="1"/>
  <c r="D10" i="245"/>
</calcChain>
</file>

<file path=xl/sharedStrings.xml><?xml version="1.0" encoding="utf-8"?>
<sst xmlns="http://schemas.openxmlformats.org/spreadsheetml/2006/main" count="870" uniqueCount="200">
  <si>
    <t>Tabela 1</t>
  </si>
  <si>
    <t>Valor Adicionado por setores e Produto Interno Bruto, segundo as regiões administrativas</t>
  </si>
  <si>
    <t>Estado de São Paulo</t>
  </si>
  <si>
    <t>2020-2024</t>
  </si>
  <si>
    <t xml:space="preserve">Tabela 2 </t>
  </si>
  <si>
    <t>Participação do Valor Adicionado setorial e do Produto Interno Bruto no total da economia paulista, segundo as regiões administrativas</t>
  </si>
  <si>
    <t>Produto Interno Bruto a Preço de Mercado Total e per Capita e População Residente</t>
  </si>
  <si>
    <t>2002-2024</t>
  </si>
  <si>
    <t>Taxas de crescimento do PIB</t>
  </si>
  <si>
    <t>Índices trimestrais do Valor Adicionado por setores de atividade econômica e do Produto Interno Bruto</t>
  </si>
  <si>
    <t>Taxas de crescimento do Valor Adicionado por setores de atividade econômica e do Produto Interno Bruto acumuladas no ano em relação ao período do ano anterior</t>
  </si>
  <si>
    <t>Taxas de crescimento do Valor Adicionado por setores de atividade econômica e do Produto Interno Bruto acumuladas nos últimos quatro trimestres em relação aos quatro trimestres imediatamente anteriores</t>
  </si>
  <si>
    <t>Valor Adicionado por setores de atividade econômica e do Produto Interno Bruto</t>
  </si>
  <si>
    <t>Região Administrativa de São José dos Campos</t>
  </si>
  <si>
    <t>Região Metropolitana de São Paulo</t>
  </si>
  <si>
    <t>Em R$ bilhões</t>
  </si>
  <si>
    <t>Regiões Administrativas</t>
  </si>
  <si>
    <t>Valor Adicionado</t>
  </si>
  <si>
    <t>PIB</t>
  </si>
  <si>
    <t>Agropecuária</t>
  </si>
  <si>
    <t>Indústria</t>
  </si>
  <si>
    <t>Serviços</t>
  </si>
  <si>
    <t>Total</t>
  </si>
  <si>
    <t>RM São Paulo</t>
  </si>
  <si>
    <t xml:space="preserve">     Município de São Paulo</t>
  </si>
  <si>
    <t xml:space="preserve">     Região do ABCD</t>
  </si>
  <si>
    <t xml:space="preserve">     Região de Guarulhos</t>
  </si>
  <si>
    <t xml:space="preserve">     Região de Osasco</t>
  </si>
  <si>
    <t>RA Campinas</t>
  </si>
  <si>
    <t>RA São José dos Campos</t>
  </si>
  <si>
    <t>RA Sorocaba</t>
  </si>
  <si>
    <t>RA Santos</t>
  </si>
  <si>
    <t>RA Ribeirão Preto</t>
  </si>
  <si>
    <t>RA São José do Rio Preto</t>
  </si>
  <si>
    <t>RA Bauru</t>
  </si>
  <si>
    <t>RA Central</t>
  </si>
  <si>
    <t>RA Marília</t>
  </si>
  <si>
    <t>RA Presidente Prudente</t>
  </si>
  <si>
    <t>RA Araçatuba</t>
  </si>
  <si>
    <t>RA Franca</t>
  </si>
  <si>
    <t>RA Itapeva</t>
  </si>
  <si>
    <t>RA Barretos</t>
  </si>
  <si>
    <t>RA Registro</t>
  </si>
  <si>
    <r>
      <rPr>
        <b/>
        <sz val="11"/>
        <color rgb="FF000000"/>
        <rFont val="Arial"/>
      </rPr>
      <t>Fonte</t>
    </r>
    <r>
      <rPr>
        <sz val="11"/>
        <color rgb="FF000000"/>
        <rFont val="Arial"/>
      </rPr>
      <t>: Fundação Seade. Convênio com a Secretaria Municipal da Fazenda de São Paulo.</t>
    </r>
  </si>
  <si>
    <r>
      <rPr>
        <b/>
        <sz val="11"/>
        <rFont val="Arial"/>
      </rPr>
      <t>Nota</t>
    </r>
    <r>
      <rPr>
        <sz val="11"/>
        <rFont val="Arial"/>
      </rPr>
      <t xml:space="preserve">: Os dados são preliminares e sujeitos a revisão. </t>
    </r>
  </si>
  <si>
    <t xml:space="preserve">          Municípios que compreendem as Delegacias Regionais Tributárias: Região da Capital: município de São Paulo. Região do ABCD: Diadema, Mauá, Ribeirão Pires, Rio Grande da Serra, Santo </t>
  </si>
  <si>
    <t xml:space="preserve">          André, São Bernardo do Campo e São Caetano do Sul. Região de Guarulhos: Arujá, Biritiba-Mirim, Ferraz de Vasconcelos, Guararema, Guarulhos, Itaquaquecetuba, Mairiporã, Mogi das Cruzes, Poá, </t>
  </si>
  <si>
    <t xml:space="preserve">          Salesópolis, Santa Isabel e Suzano. Região de Osasco: Barueri, Caieiras, Cajamar, Carapicuíba, Cotia, Embu das Artes, Embu-Guaçu, Francisco Morato, Franco da Rocha, Itapecerica da Serra, Itapevi, Jandira, </t>
  </si>
  <si>
    <t xml:space="preserve">          Juquitiba, Osasco, Pirapora do Bom Jesus, Santana do Parnaíba, São Lourenço da Serra, Taboão da Serra e Vargem Grande Paulista.</t>
  </si>
  <si>
    <t>Em porcentagem</t>
  </si>
  <si>
    <r>
      <rPr>
        <b/>
        <sz val="11"/>
        <rFont val="Arial"/>
        <family val="2"/>
      </rPr>
      <t>Nota</t>
    </r>
    <r>
      <rPr>
        <sz val="11"/>
        <rFont val="Arial"/>
        <family val="2"/>
      </rPr>
      <t xml:space="preserve">: Os dados são preliminares e sujeitos a revisão. </t>
    </r>
  </si>
  <si>
    <t>Anos</t>
  </si>
  <si>
    <t>PIB Total</t>
  </si>
  <si>
    <t>População Residente (1)</t>
  </si>
  <si>
    <t>Preço corrente</t>
  </si>
  <si>
    <t>Preço do ano anterior</t>
  </si>
  <si>
    <t>Taxa de crescimento 
(Em %)</t>
  </si>
  <si>
    <t>Índice de Volume</t>
  </si>
  <si>
    <t>Deflator Implícito</t>
  </si>
  <si>
    <t>Preço Corrente</t>
  </si>
  <si>
    <t>Índice de Volume
Base:2010=100</t>
  </si>
  <si>
    <t>Em bilhões de Reais</t>
  </si>
  <si>
    <t>Base: 2010 = 100</t>
  </si>
  <si>
    <t>Em Reais</t>
  </si>
  <si>
    <r>
      <rPr>
        <b/>
        <sz val="11"/>
        <color rgb="FF000000"/>
        <rFont val="Arial"/>
      </rPr>
      <t>Fonte:</t>
    </r>
    <r>
      <rPr>
        <sz val="11"/>
        <color rgb="FF000000"/>
        <rFont val="Arial"/>
      </rPr>
      <t xml:space="preserve"> Fundação Seade.</t>
    </r>
  </si>
  <si>
    <t>(1) Considerou-se a projeção da população estimada pela Fundação Seade.</t>
  </si>
  <si>
    <t>Trimestres</t>
  </si>
  <si>
    <t>Trimestre / Trimestre imediatamente anterior (com ajuste sazonal)</t>
  </si>
  <si>
    <t>Trimestre / mesmo trimestre do ano anterior</t>
  </si>
  <si>
    <t>Acumulado ao longo do ano / mesmo período do ano anterior</t>
  </si>
  <si>
    <t>Últimos quatro trimestres / quatro trimestres imediatamente anteriores</t>
  </si>
  <si>
    <t>2002.1</t>
  </si>
  <si>
    <t>-</t>
  </si>
  <si>
    <t>2002.2</t>
  </si>
  <si>
    <t>2002.3</t>
  </si>
  <si>
    <t>2002.4</t>
  </si>
  <si>
    <t>2003.1</t>
  </si>
  <si>
    <t>2003.2</t>
  </si>
  <si>
    <t>2003.3</t>
  </si>
  <si>
    <t>2003.4</t>
  </si>
  <si>
    <t>2004.1</t>
  </si>
  <si>
    <t>2004.2</t>
  </si>
  <si>
    <t>2004.3</t>
  </si>
  <si>
    <t>2004.4</t>
  </si>
  <si>
    <t>2005.1</t>
  </si>
  <si>
    <t>2005.2</t>
  </si>
  <si>
    <t>2005.3</t>
  </si>
  <si>
    <t>2005.4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</si>
  <si>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</si>
  <si>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</si>
  <si>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</si>
  <si>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</si>
  <si>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</si>
  <si>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</si>
  <si>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</si>
  <si>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</si>
  <si>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</si>
  <si>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</si>
  <si>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</si>
  <si>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</si>
  <si>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</si>
  <si>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</si>
  <si>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</si>
  <si>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</si>
  <si>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</si>
  <si>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</si>
  <si>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</si>
  <si>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</si>
  <si>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</si>
  <si>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</si>
  <si>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</si>
  <si>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</si>
  <si>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</si>
  <si>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</si>
  <si>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</si>
  <si>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</si>
  <si>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</si>
  <si>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</si>
  <si>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</si>
  <si>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</si>
  <si>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</si>
  <si>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</si>
  <si>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</si>
  <si>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</si>
  <si>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</si>
  <si>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</si>
  <si>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</si>
  <si>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</si>
  <si>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</si>
  <si>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</si>
  <si>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</si>
  <si>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</si>
  <si>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</si>
  <si>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</si>
  <si>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</si>
  <si>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</si>
  <si>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</si>
  <si>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</si>
  <si>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</si>
  <si>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</si>
  <si>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</si>
  <si>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</si>
  <si>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</si>
  <si>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</si>
  <si>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</si>
  <si>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</si>
  <si>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</si>
  <si>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</si>
  <si>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</si>
  <si>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</si>
  <si>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</si>
  <si>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</si>
  <si>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</si>
  <si>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</si>
  <si>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</si>
  <si>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</si>
  <si>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</si>
  <si>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</si>
  <si>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</si>
  <si>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</si>
  <si>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2024.1</t>
  </si>
  <si>
    <t>2024.2</t>
  </si>
  <si>
    <t>2024.3</t>
  </si>
  <si>
    <t>2024.4</t>
  </si>
  <si>
    <r>
      <t xml:space="preserve">Fonte: </t>
    </r>
    <r>
      <rPr>
        <sz val="11"/>
        <rFont val="Arial"/>
        <family val="2"/>
      </rPr>
      <t>Fundação Seade.</t>
    </r>
  </si>
  <si>
    <t>I</t>
  </si>
  <si>
    <t>II</t>
  </si>
  <si>
    <t>III</t>
  </si>
  <si>
    <t>IV</t>
  </si>
  <si>
    <r>
      <t xml:space="preserve">PIB </t>
    </r>
    <r>
      <rPr>
        <b/>
        <i/>
        <sz val="11"/>
        <color theme="0"/>
        <rFont val="Arial"/>
        <family val="2"/>
      </rPr>
      <t>per Capita</t>
    </r>
  </si>
  <si>
    <t>Em  bilhões Reais</t>
  </si>
  <si>
    <r>
      <rPr>
        <b/>
        <sz val="11"/>
        <rFont val="Arial"/>
        <family val="2"/>
      </rPr>
      <t xml:space="preserve">Fonte: </t>
    </r>
    <r>
      <rPr>
        <sz val="11"/>
        <rFont val="Arial"/>
        <family val="2"/>
      </rPr>
      <t>Fundação Seade.</t>
    </r>
  </si>
  <si>
    <t>2º Trimestre de 2002 - 4º trimestre de 2024</t>
  </si>
  <si>
    <t>1º Trimestre de 2002 - 4º trimestre de 2024</t>
  </si>
  <si>
    <t>1º Trimestre de 2003 - 4º trimestre de 2024</t>
  </si>
  <si>
    <t>4º Trimestre de 2003 - 4º trimestre de 2024</t>
  </si>
  <si>
    <t>Tabela 17.1</t>
  </si>
  <si>
    <t>Tabela 17.2</t>
  </si>
  <si>
    <t>Tabela 17.7</t>
  </si>
  <si>
    <t>Tabela 17.8</t>
  </si>
  <si>
    <t>Tabela 17.9</t>
  </si>
  <si>
    <t>Tabela 20.2</t>
  </si>
  <si>
    <t>Tabela 20.3</t>
  </si>
  <si>
    <t>Análise de base de dados abertos</t>
  </si>
  <si>
    <t>Análise de dados baseada em perguntas orientadoras.</t>
  </si>
  <si>
    <t>Ano</t>
  </si>
  <si>
    <t>Total do valor adicionado</t>
  </si>
  <si>
    <t>1- Comparativo entre o valor adicionado total de SJC pelo PIB entre 2020 e 2021</t>
  </si>
  <si>
    <t>Diferença percentual</t>
  </si>
  <si>
    <t>Total PIB</t>
  </si>
  <si>
    <t>2- Média do valor adicionado SJC em todos os anos</t>
  </si>
  <si>
    <t>3- Evolução do crescimento do PIB em 2024</t>
  </si>
  <si>
    <t>4- Quais municípios estão abaixo da média do PIB?</t>
  </si>
  <si>
    <t>Municípios:</t>
  </si>
  <si>
    <t>PIB Município</t>
  </si>
  <si>
    <t>Média PIB</t>
  </si>
  <si>
    <t>5- Qual a participação (em %) do PIB das cidades comparado com o Estado de SP?</t>
  </si>
  <si>
    <t>Particpação do PIB total:</t>
  </si>
  <si>
    <t>PIB Total:</t>
  </si>
  <si>
    <t>PIB 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</si>
</sst>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 x14ac:knownFonts="1">
    <font>
      <sz val="12"/>
      <color theme="1"/>
      <name val="Bookman Old Style"/>
      <family val="2"/>
    </font>
    <font>
      <sz val="12"/>
      <color theme="1"/>
      <name val="Bookman Old Style"/>
      <family val="2"/>
    </font>
    <font>
      <sz val="12"/>
      <color theme="0"/>
      <name val="Bookman Old Style"/>
      <family val="2"/>
    </font>
    <font>
      <b/>
      <sz val="12"/>
      <color theme="1"/>
      <name val="Bookman Old Style"/>
      <family val="1"/>
    </font>
    <font>
      <b/>
      <sz val="12"/>
      <color theme="0"/>
      <name val="Bookman Old Style"/>
      <family val="1"/>
    </font>
    <font>
      <b/>
      <sz val="11"/>
      <name val="Arial"/>
      <family val="2"/>
    </font>
    <font>
      <sz val="11"/>
      <name val="Arial"/>
      <family val="2"/>
    </font>
    <font>
      <b/>
      <i/>
      <sz val="11"/>
      <color theme="0"/>
      <name val="Arial"/>
      <family val="2"/>
    </font>
    <font>
      <sz val="8"/>
      <name val="Bookman Old Style"/>
      <family val="2"/>
    </font>
    <font>
      <b/>
      <sz val="11"/>
      <color rgb="FF000000"/>
      <name val="Arial"/>
    </font>
    <font>
      <sz val="11"/>
      <color rgb="FF000000"/>
      <name val="Arial"/>
    </font>
    <font>
      <sz val="11"/>
      <name val="Arial"/>
    </font>
    <font>
      <b/>
      <sz val="11"/>
      <name val="Arial"/>
    </font>
    <font>
      <sz val="12"/>
      <color theme="1"/>
      <name val="Bahnschrift"/>
      <family val="2"/>
    </font>
    <font>
      <sz val="11"/>
      <color theme="1"/>
      <name val="Bahnschrift"/>
      <family val="2"/>
    </font>
    <font>
      <b/>
      <sz val="20"/>
      <color theme="1"/>
      <name val="Bahnschrift"/>
      <family val="2"/>
    </font>
    <font>
      <b/>
      <sz val="14"/>
      <color theme="1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 style="thin">
        <color indexed="64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auto="1"/>
      </bottom>
      <diagonal/>
    </border>
    <border>
      <left/>
      <right style="medium">
        <color theme="0"/>
      </right>
      <top style="thin">
        <color indexed="64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  <xf numFmtId="0" fontId="13" fillId="6" borderId="0" applyFont="0" applyFill="0" applyAlignment="0"/>
  </cellStyleXfs>
  <cellXfs count="105">
    <xf numFmtId="0" fontId="0" fillId="0" borderId="0" xfId="0"/>
    <xf numFmtId="1" fontId="1" fillId="4" borderId="0" xfId="3" applyNumberFormat="1" applyBorder="1" applyAlignment="1">
      <alignment horizontal="left" vertical="center"/>
    </xf>
    <xf numFmtId="1" fontId="1" fillId="3" borderId="0" xfId="2" applyNumberFormat="1" applyBorder="1" applyAlignment="1">
      <alignment horizontal="left" vertical="center"/>
    </xf>
    <xf numFmtId="0" fontId="1" fillId="4" borderId="0" xfId="3" applyBorder="1" applyAlignment="1">
      <alignment horizontal="center" vertical="center"/>
    </xf>
    <xf numFmtId="164" fontId="1" fillId="4" borderId="0" xfId="3" applyNumberFormat="1" applyBorder="1" applyAlignment="1">
      <alignment horizontal="center" vertical="center"/>
    </xf>
    <xf numFmtId="165" fontId="1" fillId="4" borderId="0" xfId="3" applyNumberFormat="1" applyBorder="1" applyAlignment="1">
      <alignment horizontal="center" vertical="center"/>
    </xf>
    <xf numFmtId="3" fontId="1" fillId="4" borderId="0" xfId="3" applyNumberFormat="1" applyBorder="1" applyAlignment="1">
      <alignment horizontal="center" vertical="center"/>
    </xf>
    <xf numFmtId="0" fontId="1" fillId="3" borderId="0" xfId="2" applyBorder="1" applyAlignment="1">
      <alignment horizontal="center" vertical="center"/>
    </xf>
    <xf numFmtId="164" fontId="1" fillId="3" borderId="0" xfId="2" applyNumberFormat="1" applyBorder="1" applyAlignment="1">
      <alignment horizontal="center" vertical="center"/>
    </xf>
    <xf numFmtId="165" fontId="1" fillId="3" borderId="0" xfId="2" applyNumberFormat="1" applyBorder="1" applyAlignment="1">
      <alignment horizontal="center" vertical="center"/>
    </xf>
    <xf numFmtId="3" fontId="1" fillId="3" borderId="0" xfId="2" applyNumberFormat="1" applyBorder="1" applyAlignment="1">
      <alignment horizontal="center" vertical="center"/>
    </xf>
    <xf numFmtId="2" fontId="4" fillId="2" borderId="4" xfId="1" applyNumberFormat="1" applyFont="1" applyBorder="1" applyAlignment="1">
      <alignment horizontal="center" vertical="center" wrapText="1"/>
    </xf>
    <xf numFmtId="1" fontId="1" fillId="3" borderId="1" xfId="2" applyNumberFormat="1" applyBorder="1" applyAlignment="1">
      <alignment horizontal="center" vertical="center"/>
    </xf>
    <xf numFmtId="165" fontId="1" fillId="3" borderId="1" xfId="2" applyNumberFormat="1" applyBorder="1" applyAlignment="1">
      <alignment horizontal="center" vertical="center"/>
    </xf>
    <xf numFmtId="1" fontId="1" fillId="3" borderId="0" xfId="2" applyNumberFormat="1" applyBorder="1" applyAlignment="1">
      <alignment horizontal="center" vertical="center"/>
    </xf>
    <xf numFmtId="165" fontId="1" fillId="4" borderId="2" xfId="3" applyNumberFormat="1" applyBorder="1" applyAlignment="1">
      <alignment horizontal="center" vertical="center"/>
    </xf>
    <xf numFmtId="0" fontId="4" fillId="2" borderId="9" xfId="1" applyFont="1" applyBorder="1" applyAlignment="1">
      <alignment horizontal="center" vertical="center" wrapText="1"/>
    </xf>
    <xf numFmtId="1" fontId="1" fillId="4" borderId="0" xfId="3" applyNumberFormat="1" applyBorder="1" applyAlignment="1">
      <alignment horizontal="center" vertical="center"/>
    </xf>
    <xf numFmtId="1" fontId="1" fillId="4" borderId="2" xfId="3" applyNumberFormat="1" applyBorder="1" applyAlignment="1">
      <alignment horizontal="center" vertical="center"/>
    </xf>
    <xf numFmtId="0" fontId="5" fillId="5" borderId="0" xfId="0" applyFont="1" applyFill="1"/>
    <xf numFmtId="0" fontId="6" fillId="5" borderId="0" xfId="0" applyFont="1" applyFill="1"/>
    <xf numFmtId="0" fontId="6" fillId="5" borderId="1" xfId="0" applyFont="1" applyFill="1" applyBorder="1"/>
    <xf numFmtId="2" fontId="5" fillId="5" borderId="0" xfId="0" applyNumberFormat="1" applyFont="1" applyFill="1" applyAlignment="1">
      <alignment horizontal="center"/>
    </xf>
    <xf numFmtId="2" fontId="5" fillId="5" borderId="0" xfId="0" applyNumberFormat="1" applyFont="1" applyFill="1"/>
    <xf numFmtId="0" fontId="5" fillId="5" borderId="0" xfId="0" applyFont="1" applyFill="1" applyAlignment="1">
      <alignment wrapText="1"/>
    </xf>
    <xf numFmtId="0" fontId="5" fillId="5" borderId="0" xfId="0" applyFont="1" applyFill="1" applyAlignment="1">
      <alignment horizontal="left"/>
    </xf>
    <xf numFmtId="165" fontId="6" fillId="5" borderId="0" xfId="0" applyNumberFormat="1" applyFont="1" applyFill="1"/>
    <xf numFmtId="0" fontId="5" fillId="5" borderId="1" xfId="0" applyFont="1" applyFill="1" applyBorder="1"/>
    <xf numFmtId="2" fontId="4" fillId="2" borderId="18" xfId="1" applyNumberFormat="1" applyFont="1" applyBorder="1" applyAlignment="1">
      <alignment horizontal="center" vertical="center" wrapText="1"/>
    </xf>
    <xf numFmtId="1" fontId="3" fillId="4" borderId="0" xfId="3" applyNumberFormat="1" applyFont="1" applyBorder="1" applyAlignment="1">
      <alignment horizontal="left" vertical="center"/>
    </xf>
    <xf numFmtId="0" fontId="4" fillId="2" borderId="16" xfId="1" applyFont="1" applyBorder="1" applyAlignment="1">
      <alignment horizontal="center" vertical="center" wrapText="1"/>
    </xf>
    <xf numFmtId="0" fontId="4" fillId="2" borderId="15" xfId="1" applyFont="1" applyBorder="1" applyAlignment="1">
      <alignment horizontal="center" vertical="center" wrapText="1"/>
    </xf>
    <xf numFmtId="0" fontId="4" fillId="2" borderId="14" xfId="1" applyFont="1" applyBorder="1" applyAlignment="1">
      <alignment horizontal="center" vertical="center" wrapText="1"/>
    </xf>
    <xf numFmtId="1" fontId="1" fillId="4" borderId="5" xfId="3" applyNumberFormat="1" applyBorder="1" applyAlignment="1">
      <alignment horizontal="center"/>
    </xf>
    <xf numFmtId="0" fontId="0" fillId="3" borderId="0" xfId="2" applyFont="1" applyBorder="1" applyAlignment="1">
      <alignment horizontal="center" vertical="center"/>
    </xf>
    <xf numFmtId="164" fontId="3" fillId="4" borderId="0" xfId="3" applyNumberFormat="1" applyFont="1" applyBorder="1" applyAlignment="1">
      <alignment horizontal="center" vertical="center"/>
    </xf>
    <xf numFmtId="0" fontId="0" fillId="4" borderId="0" xfId="3" applyFont="1" applyBorder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/>
    </xf>
    <xf numFmtId="1" fontId="0" fillId="3" borderId="0" xfId="2" applyNumberFormat="1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2" fontId="4" fillId="2" borderId="17" xfId="1" applyNumberFormat="1" applyFont="1" applyBorder="1" applyAlignment="1">
      <alignment horizontal="center" vertical="center" wrapText="1"/>
    </xf>
    <xf numFmtId="0" fontId="4" fillId="2" borderId="20" xfId="1" applyFont="1" applyBorder="1" applyAlignment="1">
      <alignment horizontal="center" vertical="center"/>
    </xf>
    <xf numFmtId="2" fontId="4" fillId="2" borderId="21" xfId="1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/>
    </xf>
    <xf numFmtId="0" fontId="10" fillId="5" borderId="1" xfId="0" applyFont="1" applyFill="1" applyBorder="1"/>
    <xf numFmtId="164" fontId="1" fillId="4" borderId="22" xfId="3" applyNumberFormat="1" applyBorder="1" applyAlignment="1">
      <alignment horizontal="center" vertical="center"/>
    </xf>
    <xf numFmtId="0" fontId="11" fillId="5" borderId="0" xfId="0" applyFont="1" applyFill="1"/>
    <xf numFmtId="0" fontId="5" fillId="5" borderId="23" xfId="0" applyFont="1" applyFill="1" applyBorder="1"/>
    <xf numFmtId="0" fontId="6" fillId="5" borderId="23" xfId="0" applyFont="1" applyFill="1" applyBorder="1"/>
    <xf numFmtId="0" fontId="13" fillId="0" borderId="0" xfId="0" applyFont="1"/>
    <xf numFmtId="0" fontId="13" fillId="6" borderId="0" xfId="0" applyFont="1" applyFill="1"/>
    <xf numFmtId="0" fontId="14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top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1" fontId="1" fillId="6" borderId="0" xfId="2" applyNumberFormat="1" applyFill="1" applyBorder="1" applyAlignment="1">
      <alignment horizontal="left" vertical="center"/>
    </xf>
    <xf numFmtId="164" fontId="1" fillId="6" borderId="0" xfId="2" applyNumberFormat="1" applyFill="1" applyBorder="1" applyAlignment="1">
      <alignment horizontal="center" vertical="center"/>
    </xf>
    <xf numFmtId="0" fontId="6" fillId="6" borderId="0" xfId="0" applyFont="1" applyFill="1"/>
    <xf numFmtId="2" fontId="4" fillId="2" borderId="17" xfId="1" applyNumberFormat="1" applyFont="1" applyBorder="1" applyAlignment="1">
      <alignment vertical="center" wrapText="1"/>
    </xf>
    <xf numFmtId="10" fontId="13" fillId="0" borderId="0" xfId="4" applyNumberFormat="1" applyFont="1"/>
    <xf numFmtId="0" fontId="13" fillId="0" borderId="0" xfId="0" applyFont="1" applyAlignment="1">
      <alignment horizontal="center" vertical="center"/>
    </xf>
    <xf numFmtId="2" fontId="13" fillId="0" borderId="0" xfId="0" applyNumberFormat="1" applyFont="1"/>
    <xf numFmtId="0" fontId="0" fillId="7" borderId="0" xfId="3" applyFont="1" applyFill="1" applyBorder="1" applyAlignment="1">
      <alignment horizontal="center" vertical="center"/>
    </xf>
    <xf numFmtId="164" fontId="1" fillId="7" borderId="0" xfId="3" applyNumberFormat="1" applyFill="1" applyBorder="1" applyAlignment="1">
      <alignment horizontal="center" vertical="center"/>
    </xf>
    <xf numFmtId="0" fontId="1" fillId="7" borderId="0" xfId="2" applyFill="1" applyBorder="1" applyAlignment="1">
      <alignment horizontal="center" vertical="center"/>
    </xf>
    <xf numFmtId="164" fontId="1" fillId="7" borderId="0" xfId="2" applyNumberFormat="1" applyFill="1" applyBorder="1" applyAlignment="1">
      <alignment horizontal="center" vertical="center"/>
    </xf>
    <xf numFmtId="0" fontId="0" fillId="0" borderId="0" xfId="3" applyFont="1" applyFill="1" applyBorder="1" applyAlignment="1">
      <alignment horizontal="center" vertical="center"/>
    </xf>
    <xf numFmtId="164" fontId="1" fillId="0" borderId="0" xfId="3" applyNumberForma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164" fontId="13" fillId="0" borderId="0" xfId="2" applyNumberFormat="1" applyFont="1" applyFill="1" applyBorder="1" applyAlignment="1">
      <alignment horizontal="center" vertical="center"/>
    </xf>
    <xf numFmtId="0" fontId="13" fillId="0" borderId="0" xfId="3" applyFont="1" applyFill="1" applyBorder="1" applyAlignment="1">
      <alignment horizontal="center" vertical="center"/>
    </xf>
    <xf numFmtId="164" fontId="13" fillId="0" borderId="0" xfId="3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6" fillId="6" borderId="0" xfId="0" applyFont="1" applyFill="1" applyAlignment="1">
      <alignment horizontal="left" vertical="center" indent="1"/>
    </xf>
    <xf numFmtId="0" fontId="4" fillId="2" borderId="18" xfId="1" applyFont="1" applyBorder="1" applyAlignment="1">
      <alignment horizontal="center" vertical="center"/>
    </xf>
    <xf numFmtId="0" fontId="4" fillId="2" borderId="19" xfId="1" applyFont="1" applyBorder="1" applyAlignment="1">
      <alignment horizontal="center" vertical="center"/>
    </xf>
    <xf numFmtId="0" fontId="4" fillId="2" borderId="17" xfId="1" applyFont="1" applyBorder="1" applyAlignment="1">
      <alignment horizontal="center" vertical="center"/>
    </xf>
    <xf numFmtId="2" fontId="4" fillId="2" borderId="17" xfId="1" applyNumberFormat="1" applyFont="1" applyBorder="1" applyAlignment="1">
      <alignment horizontal="center" vertical="center" wrapText="1"/>
    </xf>
    <xf numFmtId="0" fontId="4" fillId="2" borderId="9" xfId="1" applyFont="1" applyBorder="1" applyAlignment="1">
      <alignment horizontal="center" vertical="center" wrapText="1"/>
    </xf>
    <xf numFmtId="0" fontId="5" fillId="5" borderId="0" xfId="0" applyFont="1" applyFill="1" applyAlignment="1">
      <alignment horizontal="left"/>
    </xf>
    <xf numFmtId="0" fontId="4" fillId="2" borderId="8" xfId="1" applyFont="1" applyBorder="1" applyAlignment="1">
      <alignment horizontal="center" vertical="center"/>
    </xf>
    <xf numFmtId="0" fontId="4" fillId="2" borderId="9" xfId="1" applyFont="1" applyBorder="1" applyAlignment="1">
      <alignment horizontal="center" vertical="center"/>
    </xf>
    <xf numFmtId="0" fontId="4" fillId="2" borderId="10" xfId="1" applyFont="1" applyBorder="1" applyAlignment="1">
      <alignment horizontal="center" vertical="center" wrapText="1"/>
    </xf>
    <xf numFmtId="0" fontId="6" fillId="5" borderId="0" xfId="0" applyFont="1" applyFill="1" applyAlignment="1">
      <alignment horizontal="right"/>
    </xf>
    <xf numFmtId="1" fontId="1" fillId="4" borderId="1" xfId="3" applyNumberFormat="1" applyBorder="1" applyAlignment="1">
      <alignment horizontal="center" vertical="center"/>
    </xf>
    <xf numFmtId="1" fontId="1" fillId="4" borderId="0" xfId="3" applyNumberFormat="1" applyBorder="1" applyAlignment="1">
      <alignment horizontal="center" vertical="center"/>
    </xf>
    <xf numFmtId="1" fontId="1" fillId="4" borderId="2" xfId="3" applyNumberFormat="1" applyBorder="1" applyAlignment="1">
      <alignment horizontal="center" vertical="center"/>
    </xf>
    <xf numFmtId="0" fontId="6" fillId="5" borderId="2" xfId="0" applyFont="1" applyFill="1" applyBorder="1" applyAlignment="1">
      <alignment horizontal="right"/>
    </xf>
    <xf numFmtId="2" fontId="4" fillId="2" borderId="1" xfId="1" applyNumberFormat="1" applyFont="1" applyBorder="1" applyAlignment="1">
      <alignment horizontal="center" vertical="center" wrapText="1"/>
    </xf>
    <xf numFmtId="2" fontId="4" fillId="2" borderId="13" xfId="1" applyNumberFormat="1" applyFont="1" applyBorder="1" applyAlignment="1">
      <alignment horizontal="center" vertical="center" wrapText="1"/>
    </xf>
    <xf numFmtId="2" fontId="4" fillId="2" borderId="2" xfId="1" applyNumberFormat="1" applyFont="1" applyBorder="1" applyAlignment="1">
      <alignment horizontal="center" vertical="center" wrapText="1"/>
    </xf>
    <xf numFmtId="2" fontId="4" fillId="2" borderId="11" xfId="1" applyNumberFormat="1" applyFont="1" applyBorder="1" applyAlignment="1">
      <alignment horizontal="center" vertical="center" wrapText="1"/>
    </xf>
    <xf numFmtId="2" fontId="4" fillId="2" borderId="7" xfId="1" applyNumberFormat="1" applyFont="1" applyBorder="1" applyAlignment="1">
      <alignment horizontal="center" vertical="center"/>
    </xf>
    <xf numFmtId="2" fontId="4" fillId="2" borderId="5" xfId="1" applyNumberFormat="1" applyFont="1" applyBorder="1" applyAlignment="1">
      <alignment horizontal="center" vertical="center"/>
    </xf>
    <xf numFmtId="2" fontId="4" fillId="2" borderId="6" xfId="1" applyNumberFormat="1" applyFont="1" applyBorder="1" applyAlignment="1">
      <alignment horizontal="center" vertical="center"/>
    </xf>
    <xf numFmtId="2" fontId="4" fillId="2" borderId="12" xfId="1" applyNumberFormat="1" applyFont="1" applyBorder="1" applyAlignment="1">
      <alignment horizontal="center" vertical="center" wrapText="1"/>
    </xf>
    <xf numFmtId="2" fontId="4" fillId="2" borderId="3" xfId="1" applyNumberFormat="1" applyFont="1" applyBorder="1" applyAlignment="1">
      <alignment horizontal="center" vertical="center" wrapText="1"/>
    </xf>
    <xf numFmtId="0" fontId="13" fillId="0" borderId="4" xfId="0" applyFont="1" applyBorder="1"/>
    <xf numFmtId="0" fontId="13" fillId="0" borderId="0" xfId="0" applyFont="1" applyBorder="1"/>
    <xf numFmtId="2" fontId="13" fillId="0" borderId="4" xfId="0" applyNumberFormat="1" applyFont="1" applyBorder="1"/>
    <xf numFmtId="0" fontId="13" fillId="8" borderId="4" xfId="0" applyFont="1" applyFill="1" applyBorder="1" applyAlignment="1">
      <alignment horizontal="center" vertical="center"/>
    </xf>
    <xf numFmtId="2" fontId="13" fillId="8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/>
    </xf>
    <xf numFmtId="9" fontId="13" fillId="0" borderId="4" xfId="4" applyFont="1" applyBorder="1"/>
  </cellXfs>
  <cellStyles count="6">
    <cellStyle name="20% - Ênfase5" xfId="2" builtinId="46"/>
    <cellStyle name="40% - Ênfase5" xfId="3" builtinId="47"/>
    <cellStyle name="Ênfase5" xfId="1" builtinId="45"/>
    <cellStyle name="Estilo 1" xfId="5" xr:uid="{20A3CEC8-6E27-40AB-9C88-D52BFC432313}"/>
    <cellStyle name="Normal" xfId="0" builtinId="0"/>
    <cellStyle name="Porcentagem" xfId="4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name val="Bahnschrift"/>
        <family val="2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 dados'!$B$8</c:f>
              <c:strCache>
                <c:ptCount val="1"/>
                <c:pt idx="0">
                  <c:v>Total do valor adicionado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'Análise de dados'!$A$9:$A$10</c:f>
              <c:numCache>
                <c:formatCode>General</c:formatCode>
                <c:ptCount val="2"/>
                <c:pt idx="0">
                  <c:v>2020</c:v>
                </c:pt>
                <c:pt idx="1">
                  <c:v>2021</c:v>
                </c:pt>
              </c:numCache>
            </c:numRef>
          </c:cat>
          <c:val>
            <c:numRef>
              <c:f>'Análise de dados'!$B$9:$B$10</c:f>
              <c:numCache>
                <c:formatCode>0.00</c:formatCode>
                <c:ptCount val="2"/>
                <c:pt idx="0">
                  <c:v>106.09494793368066</c:v>
                </c:pt>
                <c:pt idx="1">
                  <c:v>137.01078490828758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B-42B7-BD73-C2BA5D5BBE62}"/>
            </c:ext>
          </c:extLst>
        </c:ser>
        <c:ser>
          <c:idx val="1"/>
          <c:order val="1"/>
          <c:tx>
            <c:strRef>
              <c:f>'Análise de dados'!$C$8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'Análise de dados'!$A$9:$A$10</c:f>
              <c:numCache>
                <c:formatCode>General</c:formatCode>
                <c:ptCount val="2"/>
                <c:pt idx="0">
                  <c:v>2020</c:v>
                </c:pt>
                <c:pt idx="1">
                  <c:v>2021</c:v>
                </c:pt>
              </c:numCache>
            </c:numRef>
          </c:cat>
          <c:val>
            <c:numRef>
              <c:f>'Análise de dados'!$C$9:$C$10</c:f>
              <c:numCache>
                <c:formatCode>0.00</c:formatCode>
                <c:ptCount val="2"/>
                <c:pt idx="0">
                  <c:v>121.94683620363141</c:v>
                </c:pt>
                <c:pt idx="1">
                  <c:v>157.33091870465458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B-42B7-BD73-C2BA5D5BBE62}"/>
            </c:ext>
          </c:extLst>
        </c:ser>
        <c:ser>
          <c:idx val="2"/>
          <c:order val="2"/>
          <c:tx>
            <c:strRef>
              <c:f>'Análise de dados'!$D$8</c:f>
              <c:strCache>
                <c:ptCount val="1"/>
                <c:pt idx="0">
                  <c:v>Diferença percentual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'Análise de dados'!$A$9:$A$10</c:f>
              <c:numCache>
                <c:formatCode>General</c:formatCode>
                <c:ptCount val="2"/>
                <c:pt idx="0">
                  <c:v>2020</c:v>
                </c:pt>
                <c:pt idx="1">
                  <c:v>2021</c:v>
                </c:pt>
              </c:numCache>
            </c:numRef>
          </c:cat>
          <c:val>
            <c:numRef>
              <c:f>'Análise de dados'!$D$9:$D$10</c:f>
              <c:numCache>
                <c:formatCode>0.00%</c:formatCode>
                <c:ptCount val="2"/>
                <c:pt idx="0">
                  <c:v>9.4255194943409955E-3</c:v>
                </c:pt>
                <c:pt idx="1">
                  <c:v>7.298695505389456E-3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B-42B7-BD73-C2BA5D5BB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1765984"/>
        <c:axId val="601769224"/>
      </c:barChart>
      <c:catAx>
        <c:axId val="60176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601769224"/>
        <c:crosses val="autoZero"/>
        <c:auto val="1"/>
        <c:lblAlgn val="ctr"/>
        <c:lblOffset val="100"/>
        <c:noMultiLvlLbl val="0"/>
      </c:catAx>
      <c:valAx>
        <c:axId val="60176922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0176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chemeClr val="tx1">
              <a:lumMod val="75000"/>
              <a:lumOff val="25000"/>
            </a:schemeClr>
          </a:solidFill>
          <a:latin typeface="Bahnschrift" panose="020B0502040204020203" pitchFamily="34" charset="0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 dados'!$B$25</c:f>
              <c:strCache>
                <c:ptCount val="1"/>
                <c:pt idx="0">
                  <c:v>Indústria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'Análise de dados'!$B$26</c:f>
              <c:numCache>
                <c:formatCode>0.00</c:formatCode>
                <c:ptCount val="1"/>
                <c:pt idx="0">
                  <c:v>0.82562572089800434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F-42AA-B85E-547F358CA909}"/>
            </c:ext>
          </c:extLst>
        </c:ser>
        <c:ser>
          <c:idx val="1"/>
          <c:order val="1"/>
          <c:tx>
            <c:strRef>
              <c:f>'Análise de dados'!$C$25</c:f>
              <c:strCache>
                <c:ptCount val="1"/>
                <c:pt idx="0">
                  <c:v>Serviços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'Análise de dados'!$C$26</c:f>
              <c:numCache>
                <c:formatCode>0.00</c:formatCode>
                <c:ptCount val="1"/>
                <c:pt idx="0">
                  <c:v>2.7389955134665933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FF-42AA-B85E-547F358CA909}"/>
            </c:ext>
          </c:extLst>
        </c:ser>
        <c:ser>
          <c:idx val="2"/>
          <c:order val="2"/>
          <c:tx>
            <c:strRef>
              <c:f>'Análise de dados'!$D$25</c:f>
              <c:strCache>
                <c:ptCount val="1"/>
                <c:pt idx="0">
                  <c:v>Agropecuária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'Análise de dados'!$D$26</c:f>
              <c:numCache>
                <c:formatCode>0.00</c:formatCode>
                <c:ptCount val="1"/>
                <c:pt idx="0">
                  <c:v>1.7447651761774499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FF-42AA-B85E-547F358CA909}"/>
            </c:ext>
          </c:extLst>
        </c:ser>
        <c:ser>
          <c:idx val="3"/>
          <c:order val="3"/>
          <c:tx>
            <c:strRef>
              <c:f>'Análise de dados'!$A$25</c:f>
              <c:strCache>
                <c:ptCount val="1"/>
                <c:pt idx="0">
                  <c:v>Total PIB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'Análise de dados'!$A$26</c:f>
              <c:numCache>
                <c:formatCode>0.00</c:formatCode>
                <c:ptCount val="1"/>
                <c:pt idx="0">
                  <c:v>2.386629812527882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FF-42AA-B85E-547F358C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266463"/>
        <c:axId val="75266943"/>
      </c:barChart>
      <c:catAx>
        <c:axId val="75266463"/>
        <c:scaling>
          <c:orientation val="minMax"/>
        </c:scaling>
        <c:delete val="1"/>
        <c:axPos val="b"/>
        <c:majorTickMark val="none"/>
        <c:minorTickMark val="none"/>
        <c:tickLblPos val="nextTo"/>
        <c:crossAx val="75266943"/>
        <c:crosses val="autoZero"/>
        <c:auto val="1"/>
        <c:lblAlgn val="ctr"/>
        <c:lblOffset val="100"/>
        <c:noMultiLvlLbl val="0"/>
      </c:catAx>
      <c:valAx>
        <c:axId val="7526694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7526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de dados'!$B$59</c:f>
              <c:strCache>
                <c:ptCount val="1"/>
                <c:pt idx="0">
                  <c:v>PIB Município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 dados'!$A$60:$A$79</c:f>
              <c:strCache>
                <c:ptCount val="20"/>
                <c:pt idx="0">
                  <c:v>RM São Paulo</c:v>
                </c:pt>
                <c:pt idx="1">
                  <c:v>     Município de São Paulo</c:v>
                </c:pt>
                <c:pt idx="2">
                  <c:v>RA Campinas</c:v>
                </c:pt>
                <c:pt idx="3">
                  <c:v>     Região de Osasco</c:v>
                </c:pt>
                <c:pt idx="4">
                  <c:v>     Região do ABCD</c:v>
                </c:pt>
                <c:pt idx="5">
                  <c:v>     Região de Guarulhos</c:v>
                </c:pt>
                <c:pt idx="6">
                  <c:v>RA São José dos Campos</c:v>
                </c:pt>
                <c:pt idx="7">
                  <c:v>RA Sorocaba</c:v>
                </c:pt>
                <c:pt idx="8">
                  <c:v>RA Santos</c:v>
                </c:pt>
                <c:pt idx="9">
                  <c:v>RA Ribeirão Preto</c:v>
                </c:pt>
                <c:pt idx="10">
                  <c:v>RA São José do Rio Preto</c:v>
                </c:pt>
                <c:pt idx="11">
                  <c:v>RA Bauru</c:v>
                </c:pt>
                <c:pt idx="12">
                  <c:v>RA Central</c:v>
                </c:pt>
                <c:pt idx="13">
                  <c:v>RA Marília</c:v>
                </c:pt>
                <c:pt idx="14">
                  <c:v>RA Presidente Prudente</c:v>
                </c:pt>
                <c:pt idx="15">
                  <c:v>RA Franca</c:v>
                </c:pt>
                <c:pt idx="16">
                  <c:v>RA Araçatuba</c:v>
                </c:pt>
                <c:pt idx="17">
                  <c:v>RA Barretos</c:v>
                </c:pt>
                <c:pt idx="18">
                  <c:v>RA Itapeva</c:v>
                </c:pt>
                <c:pt idx="19">
                  <c:v>RA Registro</c:v>
                </c:pt>
              </c:strCache>
            </c:strRef>
          </c:cat>
          <c:val>
            <c:numRef>
              <c:f>'Análise de dados'!$B$60:$B$79</c:f>
              <c:numCache>
                <c:formatCode>0.00</c:formatCode>
                <c:ptCount val="20"/>
                <c:pt idx="0">
                  <c:v>1236.6581153009806</c:v>
                </c:pt>
                <c:pt idx="1">
                  <c:v>746.90932958899521</c:v>
                </c:pt>
                <c:pt idx="2">
                  <c:v>458.3868190315751</c:v>
                </c:pt>
                <c:pt idx="3">
                  <c:v>238.13918341511024</c:v>
                </c:pt>
                <c:pt idx="4">
                  <c:v>127.20300298698875</c:v>
                </c:pt>
                <c:pt idx="5">
                  <c:v>124.40659930988636</c:v>
                </c:pt>
                <c:pt idx="6">
                  <c:v>121.94683620363141</c:v>
                </c:pt>
                <c:pt idx="7">
                  <c:v>112.90937096268181</c:v>
                </c:pt>
                <c:pt idx="8">
                  <c:v>68.481914805047239</c:v>
                </c:pt>
                <c:pt idx="9">
                  <c:v>62.481005375934544</c:v>
                </c:pt>
                <c:pt idx="10">
                  <c:v>58.76353731883335</c:v>
                </c:pt>
                <c:pt idx="11">
                  <c:v>48.296824371361957</c:v>
                </c:pt>
                <c:pt idx="12">
                  <c:v>44.342566124724677</c:v>
                </c:pt>
                <c:pt idx="13">
                  <c:v>37.528086076298528</c:v>
                </c:pt>
                <c:pt idx="14">
                  <c:v>28.247780031979843</c:v>
                </c:pt>
                <c:pt idx="15">
                  <c:v>27.782515815883297</c:v>
                </c:pt>
                <c:pt idx="16">
                  <c:v>27.537034286963678</c:v>
                </c:pt>
                <c:pt idx="17">
                  <c:v>17.742109657796867</c:v>
                </c:pt>
                <c:pt idx="18">
                  <c:v>17.510091904883492</c:v>
                </c:pt>
                <c:pt idx="19">
                  <c:v>9.0243725766389726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9-4F5A-94C3-B78FA6DCFC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9266368"/>
        <c:axId val="2079276448"/>
      </c:barChart>
      <c:catAx>
        <c:axId val="207926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2079276448"/>
        <c:crosses val="autoZero"/>
        <c:auto val="1"/>
        <c:lblAlgn val="ctr"/>
        <c:lblOffset val="100"/>
        <c:noMultiLvlLbl val="0"/>
      </c:catAx>
      <c:valAx>
        <c:axId val="207927644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07926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 dados'!$B$83</c:f>
              <c:strCache>
                <c:ptCount val="1"/>
                <c:pt idx="0">
                  <c:v>PIB Cidades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de dados'!$A$84:$A$102</c:f>
              <c:strCache>
                <c:ptCount val="19"/>
                <c:pt idx="0">
                  <c:v>     Município de São Paulo</c:v>
                </c:pt>
                <c:pt idx="1">
                  <c:v>RA Campinas</c:v>
                </c:pt>
                <c:pt idx="2">
                  <c:v>     Região de Osasco</c:v>
                </c:pt>
                <c:pt idx="3">
                  <c:v>     Região do ABCD</c:v>
                </c:pt>
                <c:pt idx="4">
                  <c:v>     Região de Guarulhos</c:v>
                </c:pt>
                <c:pt idx="5">
                  <c:v>RA São José dos Campos</c:v>
                </c:pt>
                <c:pt idx="6">
                  <c:v>RA Sorocaba</c:v>
                </c:pt>
                <c:pt idx="7">
                  <c:v>RA Santos</c:v>
                </c:pt>
                <c:pt idx="8">
                  <c:v>RA Ribeirão Preto</c:v>
                </c:pt>
                <c:pt idx="9">
                  <c:v>RA São José do Rio Preto</c:v>
                </c:pt>
                <c:pt idx="10">
                  <c:v>RA Bauru</c:v>
                </c:pt>
                <c:pt idx="11">
                  <c:v>RA Central</c:v>
                </c:pt>
                <c:pt idx="12">
                  <c:v>RA Marília</c:v>
                </c:pt>
                <c:pt idx="13">
                  <c:v>RA Presidente Prudente</c:v>
                </c:pt>
                <c:pt idx="14">
                  <c:v>RA Franca</c:v>
                </c:pt>
                <c:pt idx="15">
                  <c:v>RA Araçatuba</c:v>
                </c:pt>
                <c:pt idx="16">
                  <c:v>RA Barretos</c:v>
                </c:pt>
                <c:pt idx="17">
                  <c:v>RA Itapeva</c:v>
                </c:pt>
                <c:pt idx="18">
                  <c:v>RA Registro</c:v>
                </c:pt>
              </c:strCache>
            </c:strRef>
          </c:cat>
          <c:val>
            <c:numRef>
              <c:f>'Análise de dados'!$B$84:$B$102</c:f>
              <c:numCache>
                <c:formatCode>0.00</c:formatCode>
                <c:ptCount val="19"/>
                <c:pt idx="0">
                  <c:v>746.90932958899521</c:v>
                </c:pt>
                <c:pt idx="1">
                  <c:v>458.3868190315751</c:v>
                </c:pt>
                <c:pt idx="2">
                  <c:v>238.13918341511024</c:v>
                </c:pt>
                <c:pt idx="3">
                  <c:v>127.20300298698875</c:v>
                </c:pt>
                <c:pt idx="4">
                  <c:v>124.40659930988636</c:v>
                </c:pt>
                <c:pt idx="5">
                  <c:v>121.94683620363141</c:v>
                </c:pt>
                <c:pt idx="6">
                  <c:v>112.90937096268181</c:v>
                </c:pt>
                <c:pt idx="7">
                  <c:v>68.481914805047239</c:v>
                </c:pt>
                <c:pt idx="8">
                  <c:v>62.481005375934544</c:v>
                </c:pt>
                <c:pt idx="9">
                  <c:v>58.76353731883335</c:v>
                </c:pt>
                <c:pt idx="10">
                  <c:v>48.296824371361957</c:v>
                </c:pt>
                <c:pt idx="11">
                  <c:v>44.342566124724677</c:v>
                </c:pt>
                <c:pt idx="12">
                  <c:v>37.528086076298528</c:v>
                </c:pt>
                <c:pt idx="13">
                  <c:v>28.247780031979843</c:v>
                </c:pt>
                <c:pt idx="14">
                  <c:v>27.782515815883297</c:v>
                </c:pt>
                <c:pt idx="15">
                  <c:v>27.537034286963678</c:v>
                </c:pt>
                <c:pt idx="16">
                  <c:v>17.742109657796867</c:v>
                </c:pt>
                <c:pt idx="17">
                  <c:v>17.510091904883492</c:v>
                </c:pt>
                <c:pt idx="18">
                  <c:v>9.0243725766389726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D-4B6B-8BCE-0D8DD4B11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281728"/>
        <c:axId val="2079271648"/>
      </c:barChart>
      <c:lineChart>
        <c:grouping val="standard"/>
        <c:varyColors val="0"/>
        <c:ser>
          <c:idx val="1"/>
          <c:order val="1"/>
          <c:tx>
            <c:strRef>
              <c:f>'Análise de dados'!$C$83</c:f>
              <c:strCache>
                <c:ptCount val="1"/>
                <c:pt idx="0">
                  <c:v>Particpação do PIB total: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'Análise de dados'!$A$84:$A$102</c:f>
              <c:strCache>
                <c:ptCount val="19"/>
                <c:pt idx="0">
                  <c:v>     Município de São Paulo</c:v>
                </c:pt>
                <c:pt idx="1">
                  <c:v>RA Campinas</c:v>
                </c:pt>
                <c:pt idx="2">
                  <c:v>     Região de Osasco</c:v>
                </c:pt>
                <c:pt idx="3">
                  <c:v>     Região do ABCD</c:v>
                </c:pt>
                <c:pt idx="4">
                  <c:v>     Região de Guarulhos</c:v>
                </c:pt>
                <c:pt idx="5">
                  <c:v>RA São José dos Campos</c:v>
                </c:pt>
                <c:pt idx="6">
                  <c:v>RA Sorocaba</c:v>
                </c:pt>
                <c:pt idx="7">
                  <c:v>RA Santos</c:v>
                </c:pt>
                <c:pt idx="8">
                  <c:v>RA Ribeirão Preto</c:v>
                </c:pt>
                <c:pt idx="9">
                  <c:v>RA São José do Rio Preto</c:v>
                </c:pt>
                <c:pt idx="10">
                  <c:v>RA Bauru</c:v>
                </c:pt>
                <c:pt idx="11">
                  <c:v>RA Central</c:v>
                </c:pt>
                <c:pt idx="12">
                  <c:v>RA Marília</c:v>
                </c:pt>
                <c:pt idx="13">
                  <c:v>RA Presidente Prudente</c:v>
                </c:pt>
                <c:pt idx="14">
                  <c:v>RA Franca</c:v>
                </c:pt>
                <c:pt idx="15">
                  <c:v>RA Araçatuba</c:v>
                </c:pt>
                <c:pt idx="16">
                  <c:v>RA Barretos</c:v>
                </c:pt>
                <c:pt idx="17">
                  <c:v>RA Itapeva</c:v>
                </c:pt>
                <c:pt idx="18">
                  <c:v>RA Registro</c:v>
                </c:pt>
              </c:strCache>
            </c:strRef>
          </c:cat>
          <c:val>
            <c:numRef>
              <c:f>'Análise de dados'!$C$84:$C$102</c:f>
              <c:numCache>
                <c:formatCode>0%</c:formatCode>
                <c:ptCount val="19"/>
                <c:pt idx="0">
                  <c:v>0.3141390833176948</c:v>
                </c:pt>
                <c:pt idx="1">
                  <c:v>0.19279075709863069</c:v>
                </c:pt>
                <c:pt idx="2">
                  <c:v>0.10015783953483681</c:v>
                </c:pt>
                <c:pt idx="3">
                  <c:v>5.3499712977985267E-2</c:v>
                </c:pt>
                <c:pt idx="4">
                  <c:v>5.2323586702799268E-2</c:v>
                </c:pt>
                <c:pt idx="5">
                  <c:v>5.128904650258137E-2</c:v>
                </c:pt>
                <c:pt idx="6">
                  <c:v>4.7488021486774327E-2</c:v>
                </c:pt>
                <c:pt idx="7">
                  <c:v>2.8802486578305257E-2</c:v>
                </c:pt>
                <c:pt idx="8">
                  <c:v>2.6278592294950536E-2</c:v>
                </c:pt>
                <c:pt idx="9">
                  <c:v>2.4715079882589596E-2</c:v>
                </c:pt>
                <c:pt idx="10">
                  <c:v>2.0312934293542778E-2</c:v>
                </c:pt>
                <c:pt idx="11">
                  <c:v>1.8649831408640252E-2</c:v>
                </c:pt>
                <c:pt idx="12">
                  <c:v>1.5783761283532458E-2</c:v>
                </c:pt>
                <c:pt idx="13">
                  <c:v>1.1880600995958928E-2</c:v>
                </c:pt>
                <c:pt idx="14">
                  <c:v>1.1684917706763007E-2</c:v>
                </c:pt>
                <c:pt idx="15">
                  <c:v>1.1581671784652662E-2</c:v>
                </c:pt>
                <c:pt idx="16">
                  <c:v>7.4620704859708672E-3</c:v>
                </c:pt>
                <c:pt idx="17">
                  <c:v>7.364487230110686E-3</c:v>
                </c:pt>
                <c:pt idx="18">
                  <c:v>3.7955184336801451E-3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D-4B6B-8BCE-0D8DD4B11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275008"/>
        <c:axId val="2079273568"/>
      </c:lineChart>
      <c:catAx>
        <c:axId val="207928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2079271648"/>
        <c:crosses val="autoZero"/>
        <c:auto val="1"/>
        <c:lblAlgn val="ctr"/>
        <c:lblOffset val="100"/>
        <c:noMultiLvlLbl val="0"/>
      </c:catAx>
      <c:valAx>
        <c:axId val="20792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2079281728"/>
        <c:crosses val="autoZero"/>
        <c:crossBetween val="between"/>
      </c:valAx>
      <c:valAx>
        <c:axId val="207927356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2079275008"/>
        <c:crosses val="max"/>
        <c:crossBetween val="between"/>
      </c:valAx>
      <c:catAx>
        <c:axId val="2079275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792735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9246405-1112-4E61-8588-F351F0A35D16}" formatIdx="0"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C463FCB1-456A-4118-B702-4B5CC46C4C10}" formatIdx="1"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  <cx:data id="1">
      <cx:strDim type="cat">
        <cx:f>_xlchart.v1.3</cx:f>
      </cx:strDim>
      <cx:numDim type="val">
        <cx:f>_xlchart.v1.7</cx:f>
      </cx:numDim>
    </cx:data>
  </cx:chartData>
  <cx:chart>
    <cx:plotArea>
      <cx:plotAreaRegion>
        <cx:series layoutId="waterfall" uniqueId="{E0E7A410-C7EC-4AD2-8744-C872B435624B}" formatIdx="0">
          <cx:tx>
            <cx:txData>
              <cx:f>_xlchart.v1.4</cx:f>
              <cx:v>Trimestre / Trimestre imediatamente anterior (com ajuste sazonal)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Bahnschrift" panose="020B0502040204020203" pitchFamily="34" charset="0"/>
                    <a:ea typeface="Bahnschrift" panose="020B0502040204020203" pitchFamily="34" charset="0"/>
                    <a:cs typeface="Bahnschrift" panose="020B0502040204020203" pitchFamily="34" charset="0"/>
                  </a:defRPr>
                </a:pPr>
                <a:endPara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Bahnschrift" panose="020B0502040204020203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1610AF92-9EE5-46A1-98D2-8B62EF336527}" formatIdx="1">
          <cx:tx>
            <cx:txData>
              <cx:f>_xlchart.v1.6</cx:f>
              <cx:v>Trimestre / mesmo trimestre do ano anterior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Bahnschrift" panose="020B0502040204020203" pitchFamily="34" charset="0"/>
                <a:ea typeface="Bahnschrift" panose="020B0502040204020203" pitchFamily="34" charset="0"/>
                <a:cs typeface="Bahnschrift" panose="020B0502040204020203" pitchFamily="34" charset="0"/>
              </a:defRPr>
            </a:pPr>
            <a:endParaRPr lang="pt-BR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Bahnschrift" panose="020B0502040204020203" pitchFamily="34" charset="0"/>
            </a:endParaRPr>
          </a:p>
        </cx:txPr>
      </cx:axis>
      <cx:axis id="1" hidden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latin typeface="Bahnschrift" panose="020B0502040204020203" pitchFamily="34" charset="0"/>
              <a:ea typeface="Bahnschrift" panose="020B0502040204020203" pitchFamily="34" charset="0"/>
              <a:cs typeface="Bahnschrift" panose="020B0502040204020203" pitchFamily="34" charset="0"/>
            </a:defRPr>
          </a:pPr>
          <a:endParaRPr lang="pt-BR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Bahnschrift" panose="020B0502040204020203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100012</xdr:colOff>
      <xdr:row>6</xdr:row>
      <xdr:rowOff>161925</xdr:rowOff>
    </xdr:from>
    <xdr:to>
      <xdr:col>9</xdr:col>
      <xdr:colOff>481012</xdr:colOff>
      <xdr:row>20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5183DD-5F44-CB89-5824-164C7B68B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128587</xdr:colOff>
      <xdr:row>23</xdr:row>
      <xdr:rowOff>142875</xdr:rowOff>
    </xdr:from>
    <xdr:to>
      <xdr:col>9</xdr:col>
      <xdr:colOff>509587</xdr:colOff>
      <xdr:row>37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32E2B6-E4B2-1B70-056A-9C7D1156C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1014412</xdr:colOff>
      <xdr:row>128</xdr:row>
      <xdr:rowOff>85725</xdr:rowOff>
    </xdr:from>
    <xdr:to>
      <xdr:col>6</xdr:col>
      <xdr:colOff>223837</xdr:colOff>
      <xdr:row>142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1">
              <a:extLst>
                <a:ext uri="{FF2B5EF4-FFF2-40B4-BE49-F238E27FC236}">
                  <a16:creationId xmlns:a16="http://schemas.microsoft.com/office/drawing/2014/main" id="{47BC493D-E662-641A-EEE5-F3EE86C2D4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0112" y="26393775"/>
              <a:ext cx="4657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</xdr:col>
      <xdr:colOff>138112</xdr:colOff>
      <xdr:row>40</xdr:row>
      <xdr:rowOff>152400</xdr:rowOff>
    </xdr:from>
    <xdr:to>
      <xdr:col>10</xdr:col>
      <xdr:colOff>542925</xdr:colOff>
      <xdr:row>54</xdr:row>
      <xdr:rowOff>85726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90EBCAA-AEF5-A734-8BD9-56E8C9BAC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4462" y="8410575"/>
              <a:ext cx="7815263" cy="3076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</xdr:col>
      <xdr:colOff>223837</xdr:colOff>
      <xdr:row>60</xdr:row>
      <xdr:rowOff>161925</xdr:rowOff>
    </xdr:from>
    <xdr:to>
      <xdr:col>6</xdr:col>
      <xdr:colOff>9525</xdr:colOff>
      <xdr:row>79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289CFA8-B00C-A3B9-8253-692DB0F0E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128586</xdr:colOff>
      <xdr:row>82</xdr:row>
      <xdr:rowOff>9525</xdr:rowOff>
    </xdr:from>
    <xdr:to>
      <xdr:col>9</xdr:col>
      <xdr:colOff>514349</xdr:colOff>
      <xdr:row>102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B76401B-6B71-D1C0-6D9A-C759910BD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A05DD5-E3E6-464F-BDEB-EBF44F85DCA3}" name="Tabela2" displayName="Tabela2" ref="A8:D10" totalsRowShown="0" headerRowDxfId="17">
  <autoFilter ref="A8:D10" xr:uid="{B8A05DD5-E3E6-464F-BDEB-EBF44F85DCA3}"/>
  <tableColumns count="4">
    <tableColumn id="1" xr3:uid="{73636B07-97B1-4B77-B782-DDA74B83DF8F}" name="Ano" dataDxfId="16"/>
    <tableColumn id="2" xr3:uid="{805859EF-A490-48B8-A3D1-42E9DDECA21D}" name="Total do valor adicionado" dataDxfId="15">
      <calculatedColumnFormula>'Tabela 1'!J15</calculatedColumnFormula>
    </tableColumn>
    <tableColumn id="3" xr3:uid="{1FB9D131-07A4-4EEA-9BB1-4FE389967793}" name="PIB" dataDxfId="14">
      <calculatedColumnFormula>'Tabela 1'!K15</calculatedColumnFormula>
    </tableColumn>
    <tableColumn id="4" xr3:uid="{90D68C6E-3753-4E59-AA4B-15310A7BC390}" name="Diferença percentual" dataDxfId="13" dataCellStyle="Porcentagem">
      <calculatedColumnFormula>(C9/B9)/C9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2D1DF3-662D-4738-8497-290220B2BB26}" name="Tabela1" displayName="Tabela1" ref="A25:D26" totalsRowShown="0" headerRowDxfId="12">
  <autoFilter ref="A25:D26" xr:uid="{A52D1DF3-662D-4738-8497-290220B2BB26}"/>
  <tableColumns count="4">
    <tableColumn id="1" xr3:uid="{FCF462D7-F989-4B03-9F27-7BE8995BFBAC}" name="Total PIB" dataDxfId="11">
      <calculatedColumnFormula>AVERAGE('Tabela 17.8'!G8:G92)</calculatedColumnFormula>
    </tableColumn>
    <tableColumn id="2" xr3:uid="{FAF1BA8C-355D-4625-806A-2AF5500413CE}" name="Indústria" dataDxfId="10">
      <calculatedColumnFormula>AVERAGE('Tabela 17.8'!D8:D92)</calculatedColumnFormula>
    </tableColumn>
    <tableColumn id="3" xr3:uid="{6AED849D-A4A5-4DF6-9997-2B7AB10FD390}" name="Serviços" dataDxfId="9">
      <calculatedColumnFormula>AVERAGE('Tabela 17.8'!E8:E92)</calculatedColumnFormula>
    </tableColumn>
    <tableColumn id="4" xr3:uid="{72639CBD-5645-489C-9C1A-95648A789678}" name="Agropecuária" dataDxfId="8">
      <calculatedColumnFormula>AVERAGE('Tabela 17.8'!C8:C92)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2AF5CA-8899-4639-BEDB-2DF72461BB2B}" name="Tabela3" displayName="Tabela3" ref="A42:C46" totalsRowShown="0" headerRowDxfId="7">
  <autoFilter ref="A42:C46" xr:uid="{E52AF5CA-8899-4639-BEDB-2DF72461BB2B}"/>
  <tableColumns count="3">
    <tableColumn id="1" xr3:uid="{EDD225EC-48B4-4829-9559-7BACB2165DE3}" name="Trimestres" dataDxfId="6" dataCellStyle="20% - Ênfase5"/>
    <tableColumn id="2" xr3:uid="{7760F431-E067-411B-BD7C-851B5F6B8143}" name="Trimestre / Trimestre imediatamente anterior (com ajuste sazonal)" dataDxfId="5" dataCellStyle="20% - Ênfase5"/>
    <tableColumn id="3" xr3:uid="{DF99B06E-175D-47F4-ADD1-44F04DBA45B0}" name="Trimestre / mesmo trimestre do ano anterior" dataDxfId="4" dataCellStyle="20% - Ênfase5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6195-B1F5-4525-A637-72FC5801B299}">
  <sheetPr>
    <tabColor theme="7"/>
  </sheetPr>
  <dimension ref="A1:I138"/>
  <sheetViews>
    <sheetView showGridLines="0" tabSelected="1" workbookViewId="0">
      <selection activeCell="L89" sqref="L89"/>
    </sheetView>
  </sheetViews>
  <sheetFormatPr defaultRowHeight="15" x14ac:dyDescent="0.2"/>
  <cols>
    <col min="1" max="1" width="23.3984375" style="50" customWidth="1"/>
    <col min="2" max="2" width="25" style="50" customWidth="1"/>
    <col min="3" max="3" width="20.69921875" style="50" customWidth="1"/>
    <col min="4" max="4" width="19.59765625" style="50" bestFit="1" customWidth="1"/>
    <col min="5" max="5" width="13.09765625" style="50" bestFit="1" customWidth="1"/>
    <col min="6" max="6" width="9.8984375" style="50" bestFit="1" customWidth="1"/>
    <col min="7" max="16384" width="8.796875" style="50"/>
  </cols>
  <sheetData>
    <row r="1" spans="1:9" s="51" customFormat="1" x14ac:dyDescent="0.2"/>
    <row r="2" spans="1:9" s="51" customFormat="1" ht="23.25" customHeight="1" x14ac:dyDescent="0.2">
      <c r="A2" s="53" t="s">
        <v>183</v>
      </c>
    </row>
    <row r="3" spans="1:9" s="51" customFormat="1" ht="18" customHeight="1" x14ac:dyDescent="0.2">
      <c r="A3" s="52" t="s">
        <v>184</v>
      </c>
    </row>
    <row r="4" spans="1:9" s="51" customFormat="1" x14ac:dyDescent="0.2"/>
    <row r="6" spans="1:9" s="51" customFormat="1" ht="24" customHeight="1" x14ac:dyDescent="0.2">
      <c r="A6" s="74" t="s">
        <v>187</v>
      </c>
      <c r="B6" s="74"/>
      <c r="C6" s="74"/>
      <c r="D6" s="74"/>
      <c r="E6" s="74"/>
      <c r="F6" s="74"/>
      <c r="G6" s="74"/>
      <c r="H6" s="74"/>
      <c r="I6" s="74"/>
    </row>
    <row r="7" spans="1:9" ht="15.75" customHeight="1" x14ac:dyDescent="0.2"/>
    <row r="8" spans="1:9" x14ac:dyDescent="0.2">
      <c r="A8" s="54" t="s">
        <v>185</v>
      </c>
      <c r="B8" s="54" t="s">
        <v>186</v>
      </c>
      <c r="C8" s="54" t="s">
        <v>18</v>
      </c>
      <c r="D8" s="54" t="s">
        <v>188</v>
      </c>
    </row>
    <row r="9" spans="1:9" x14ac:dyDescent="0.2">
      <c r="A9" s="54">
        <v>2020</v>
      </c>
      <c r="B9" s="55">
        <f>'Tabela 1'!E16</f>
        <v>106.09494793368066</v>
      </c>
      <c r="C9" s="55">
        <f>'Tabela 1'!F16</f>
        <v>121.94683620363141</v>
      </c>
      <c r="D9" s="60">
        <f>(C9/B9)/C9</f>
        <v>9.4255194943409955E-3</v>
      </c>
    </row>
    <row r="10" spans="1:9" x14ac:dyDescent="0.2">
      <c r="A10" s="54">
        <v>2021</v>
      </c>
      <c r="B10" s="55">
        <f>'Tabela 1'!J16</f>
        <v>137.01078490828758</v>
      </c>
      <c r="C10" s="55">
        <f>'Tabela 1'!K16</f>
        <v>157.33091870465458</v>
      </c>
      <c r="D10" s="60">
        <f>(C10/B10)/C10</f>
        <v>7.298695505389456E-3</v>
      </c>
    </row>
    <row r="13" spans="1:9" ht="15.75" x14ac:dyDescent="0.25">
      <c r="B13"/>
      <c r="C13"/>
      <c r="D13"/>
    </row>
    <row r="14" spans="1:9" ht="15.75" x14ac:dyDescent="0.25">
      <c r="B14"/>
      <c r="C14"/>
      <c r="D14"/>
    </row>
    <row r="15" spans="1:9" ht="15.75" x14ac:dyDescent="0.25">
      <c r="B15"/>
      <c r="C15"/>
      <c r="D15"/>
    </row>
    <row r="16" spans="1:9" ht="15.75" x14ac:dyDescent="0.25">
      <c r="B16"/>
      <c r="C16"/>
      <c r="D16"/>
    </row>
    <row r="17" spans="1:9" ht="15.75" x14ac:dyDescent="0.25">
      <c r="B17"/>
      <c r="C17"/>
      <c r="D17"/>
    </row>
    <row r="18" spans="1:9" ht="15.75" x14ac:dyDescent="0.25">
      <c r="B18"/>
      <c r="C18"/>
      <c r="D18"/>
    </row>
    <row r="19" spans="1:9" ht="15.75" x14ac:dyDescent="0.25">
      <c r="B19"/>
      <c r="C19"/>
      <c r="D19"/>
    </row>
    <row r="20" spans="1:9" ht="15.75" x14ac:dyDescent="0.25">
      <c r="B20"/>
      <c r="C20"/>
      <c r="D20"/>
    </row>
    <row r="21" spans="1:9" ht="15.75" x14ac:dyDescent="0.25">
      <c r="B21"/>
      <c r="C21"/>
      <c r="D21"/>
    </row>
    <row r="22" spans="1:9" ht="15.75" x14ac:dyDescent="0.25">
      <c r="B22"/>
      <c r="C22"/>
      <c r="D22"/>
    </row>
    <row r="23" spans="1:9" s="51" customFormat="1" ht="24" customHeight="1" x14ac:dyDescent="0.2">
      <c r="A23" s="74" t="s">
        <v>190</v>
      </c>
      <c r="B23" s="74"/>
      <c r="C23" s="74"/>
      <c r="D23" s="74"/>
      <c r="E23" s="74"/>
      <c r="F23" s="74"/>
      <c r="G23" s="74"/>
      <c r="H23" s="74"/>
      <c r="I23" s="74"/>
    </row>
    <row r="24" spans="1:9" ht="15.75" x14ac:dyDescent="0.25">
      <c r="B24"/>
      <c r="C24"/>
      <c r="D24"/>
    </row>
    <row r="25" spans="1:9" x14ac:dyDescent="0.2">
      <c r="A25" s="61" t="s">
        <v>189</v>
      </c>
      <c r="B25" s="61" t="s">
        <v>20</v>
      </c>
      <c r="C25" s="61" t="s">
        <v>21</v>
      </c>
      <c r="D25" s="61" t="s">
        <v>19</v>
      </c>
    </row>
    <row r="26" spans="1:9" x14ac:dyDescent="0.2">
      <c r="A26" s="62">
        <f>AVERAGE('Tabela 17.8'!G8:G92)</f>
        <v>2.386629812527882</v>
      </c>
      <c r="B26" s="55">
        <f>AVERAGE('Tabela 17.8'!D8:D92)</f>
        <v>0.82562572089800434</v>
      </c>
      <c r="C26" s="55">
        <f>AVERAGE('Tabela 17.8'!E8:E92)</f>
        <v>2.7389955134665933</v>
      </c>
      <c r="D26" s="55">
        <f>AVERAGE('Tabela 17.8'!C8:C92)</f>
        <v>1.7447651761774499</v>
      </c>
    </row>
    <row r="27" spans="1:9" ht="15.75" x14ac:dyDescent="0.25">
      <c r="B27" s="54"/>
      <c r="C27"/>
      <c r="D27"/>
    </row>
    <row r="28" spans="1:9" ht="15.75" x14ac:dyDescent="0.25">
      <c r="B28" s="54"/>
      <c r="C28"/>
      <c r="D28"/>
    </row>
    <row r="29" spans="1:9" ht="15.75" x14ac:dyDescent="0.25">
      <c r="B29" s="54"/>
      <c r="C29"/>
      <c r="D29"/>
    </row>
    <row r="30" spans="1:9" ht="15.75" x14ac:dyDescent="0.25">
      <c r="B30" s="54"/>
      <c r="C30"/>
      <c r="D30"/>
    </row>
    <row r="31" spans="1:9" x14ac:dyDescent="0.2">
      <c r="B31" s="54"/>
    </row>
    <row r="40" spans="1:9" s="51" customFormat="1" ht="24" customHeight="1" x14ac:dyDescent="0.2">
      <c r="A40" s="74" t="s">
        <v>191</v>
      </c>
      <c r="B40" s="74"/>
      <c r="C40" s="74"/>
      <c r="D40" s="74"/>
      <c r="E40" s="74"/>
      <c r="F40" s="74"/>
      <c r="G40" s="74"/>
      <c r="H40" s="74"/>
      <c r="I40" s="74"/>
    </row>
    <row r="42" spans="1:9" ht="45" x14ac:dyDescent="0.2">
      <c r="A42" s="73" t="s">
        <v>66</v>
      </c>
      <c r="B42" s="73" t="s">
        <v>67</v>
      </c>
      <c r="C42" s="73" t="s">
        <v>68</v>
      </c>
    </row>
    <row r="43" spans="1:9" x14ac:dyDescent="0.2">
      <c r="A43" s="69" t="s">
        <v>160</v>
      </c>
      <c r="B43" s="70">
        <v>1.7401157121088806</v>
      </c>
      <c r="C43" s="70">
        <v>3.4116089216227552</v>
      </c>
    </row>
    <row r="44" spans="1:9" x14ac:dyDescent="0.2">
      <c r="A44" s="71" t="s">
        <v>161</v>
      </c>
      <c r="B44" s="72">
        <v>1.903732603249586</v>
      </c>
      <c r="C44" s="72">
        <v>5.4355069732374028</v>
      </c>
    </row>
    <row r="45" spans="1:9" ht="15.75" x14ac:dyDescent="0.25">
      <c r="A45" s="69" t="s">
        <v>162</v>
      </c>
      <c r="B45" s="70">
        <v>0.31210674235691016</v>
      </c>
      <c r="C45" s="70">
        <v>5.3303136858568134</v>
      </c>
      <c r="D45"/>
      <c r="E45"/>
      <c r="F45"/>
    </row>
    <row r="46" spans="1:9" ht="15.75" x14ac:dyDescent="0.25">
      <c r="A46" s="71" t="s">
        <v>163</v>
      </c>
      <c r="B46" s="72">
        <v>-0.34748233380598181</v>
      </c>
      <c r="C46" s="72">
        <v>3.834209237500974</v>
      </c>
      <c r="D46"/>
      <c r="E46"/>
      <c r="F46"/>
    </row>
    <row r="47" spans="1:9" ht="15.75" x14ac:dyDescent="0.25">
      <c r="A47"/>
      <c r="B47"/>
      <c r="C47"/>
      <c r="D47"/>
      <c r="E47"/>
      <c r="F47"/>
    </row>
    <row r="48" spans="1:9" ht="15.75" x14ac:dyDescent="0.25">
      <c r="A48"/>
      <c r="B48"/>
      <c r="C48"/>
      <c r="D48"/>
      <c r="E48"/>
      <c r="F48"/>
    </row>
    <row r="49" spans="1:9" ht="15.75" x14ac:dyDescent="0.25">
      <c r="A49"/>
      <c r="B49"/>
      <c r="C49"/>
      <c r="D49"/>
      <c r="E49"/>
      <c r="F49"/>
    </row>
    <row r="50" spans="1:9" ht="15.75" x14ac:dyDescent="0.25">
      <c r="A50"/>
      <c r="B50"/>
      <c r="C50"/>
      <c r="D50"/>
      <c r="E50"/>
      <c r="F50"/>
    </row>
    <row r="51" spans="1:9" ht="15.75" x14ac:dyDescent="0.25">
      <c r="A51"/>
      <c r="B51"/>
      <c r="C51"/>
      <c r="D51"/>
      <c r="E51"/>
      <c r="F51"/>
    </row>
    <row r="52" spans="1:9" ht="15.75" x14ac:dyDescent="0.25">
      <c r="A52"/>
      <c r="B52"/>
      <c r="C52"/>
    </row>
    <row r="53" spans="1:9" ht="15.75" x14ac:dyDescent="0.25">
      <c r="A53"/>
      <c r="B53"/>
      <c r="C53"/>
    </row>
    <row r="54" spans="1:9" ht="15.75" x14ac:dyDescent="0.25">
      <c r="A54"/>
      <c r="B54"/>
      <c r="C54"/>
    </row>
    <row r="55" spans="1:9" ht="15.75" x14ac:dyDescent="0.25">
      <c r="A55"/>
      <c r="B55"/>
      <c r="C55"/>
    </row>
    <row r="56" spans="1:9" ht="15.75" x14ac:dyDescent="0.25">
      <c r="A56"/>
      <c r="B56"/>
      <c r="C56"/>
    </row>
    <row r="57" spans="1:9" s="51" customFormat="1" ht="24" customHeight="1" x14ac:dyDescent="0.2">
      <c r="A57" s="74" t="s">
        <v>192</v>
      </c>
      <c r="B57" s="74"/>
      <c r="C57" s="74"/>
      <c r="D57" s="74"/>
      <c r="E57" s="74"/>
      <c r="F57" s="74"/>
      <c r="G57" s="74"/>
      <c r="H57" s="74"/>
      <c r="I57" s="74"/>
    </row>
    <row r="58" spans="1:9" ht="15.75" x14ac:dyDescent="0.25">
      <c r="A58"/>
      <c r="B58"/>
      <c r="C58"/>
    </row>
    <row r="59" spans="1:9" ht="20.100000000000001" customHeight="1" x14ac:dyDescent="0.2">
      <c r="A59" s="101" t="s">
        <v>193</v>
      </c>
      <c r="B59" s="101" t="s">
        <v>194</v>
      </c>
      <c r="D59" s="102" t="s">
        <v>195</v>
      </c>
    </row>
    <row r="60" spans="1:9" x14ac:dyDescent="0.2">
      <c r="A60" s="98" t="s">
        <v>23</v>
      </c>
      <c r="B60" s="100">
        <f>VLOOKUP(A60,'Tabela 1'!$A$9:$F$29,6,FALSE)</f>
        <v>1236.6581153009806</v>
      </c>
      <c r="D60" s="100">
        <f>AVERAGE('Tabela 1'!F9:F29)</f>
        <v>285.33028928530535</v>
      </c>
    </row>
    <row r="61" spans="1:9" x14ac:dyDescent="0.2">
      <c r="A61" s="98" t="s">
        <v>24</v>
      </c>
      <c r="B61" s="100">
        <f>VLOOKUP(A61,'Tabela 1'!A10:F30,6,FALSE)</f>
        <v>746.90932958899521</v>
      </c>
      <c r="C61" s="99"/>
    </row>
    <row r="62" spans="1:9" x14ac:dyDescent="0.2">
      <c r="A62" s="98" t="s">
        <v>28</v>
      </c>
      <c r="B62" s="100">
        <f>VLOOKUP(A62,'Tabela 1'!A14:F34,6,FALSE)</f>
        <v>458.3868190315751</v>
      </c>
      <c r="C62" s="99"/>
    </row>
    <row r="63" spans="1:9" x14ac:dyDescent="0.2">
      <c r="A63" s="98" t="s">
        <v>27</v>
      </c>
      <c r="B63" s="100">
        <f>VLOOKUP(A63,'Tabela 1'!A13:F33,6,FALSE)</f>
        <v>238.13918341511024</v>
      </c>
      <c r="C63" s="99"/>
    </row>
    <row r="64" spans="1:9" x14ac:dyDescent="0.2">
      <c r="A64" s="98" t="s">
        <v>25</v>
      </c>
      <c r="B64" s="100">
        <f>VLOOKUP(A64,'Tabela 1'!A11:F31,6,FALSE)</f>
        <v>127.20300298698875</v>
      </c>
      <c r="C64" s="99"/>
    </row>
    <row r="65" spans="1:3" x14ac:dyDescent="0.2">
      <c r="A65" s="98" t="s">
        <v>26</v>
      </c>
      <c r="B65" s="100">
        <f>VLOOKUP(A65,'Tabela 1'!A12:F32,6,FALSE)</f>
        <v>124.40659930988636</v>
      </c>
      <c r="C65" s="99"/>
    </row>
    <row r="66" spans="1:3" x14ac:dyDescent="0.2">
      <c r="A66" s="98" t="s">
        <v>29</v>
      </c>
      <c r="B66" s="100">
        <f>VLOOKUP(A66,'Tabela 1'!A15:F35,6,FALSE)</f>
        <v>121.94683620363141</v>
      </c>
      <c r="C66" s="99"/>
    </row>
    <row r="67" spans="1:3" x14ac:dyDescent="0.2">
      <c r="A67" s="98" t="s">
        <v>30</v>
      </c>
      <c r="B67" s="100">
        <f>VLOOKUP(A67,'Tabela 1'!A16:F36,6,FALSE)</f>
        <v>112.90937096268181</v>
      </c>
      <c r="C67" s="99"/>
    </row>
    <row r="68" spans="1:3" x14ac:dyDescent="0.2">
      <c r="A68" s="98" t="s">
        <v>31</v>
      </c>
      <c r="B68" s="100">
        <f>VLOOKUP(A68,'Tabela 1'!A17:F37,6,FALSE)</f>
        <v>68.481914805047239</v>
      </c>
      <c r="C68" s="99"/>
    </row>
    <row r="69" spans="1:3" x14ac:dyDescent="0.2">
      <c r="A69" s="98" t="s">
        <v>32</v>
      </c>
      <c r="B69" s="100">
        <f>VLOOKUP(A69,'Tabela 1'!A18:F38,6,FALSE)</f>
        <v>62.481005375934544</v>
      </c>
      <c r="C69" s="99"/>
    </row>
    <row r="70" spans="1:3" x14ac:dyDescent="0.2">
      <c r="A70" s="98" t="s">
        <v>33</v>
      </c>
      <c r="B70" s="100">
        <f>VLOOKUP(A70,'Tabela 1'!A19:F39,6,FALSE)</f>
        <v>58.76353731883335</v>
      </c>
      <c r="C70" s="99"/>
    </row>
    <row r="71" spans="1:3" x14ac:dyDescent="0.2">
      <c r="A71" s="98" t="s">
        <v>34</v>
      </c>
      <c r="B71" s="100">
        <f>VLOOKUP(A71,'Tabela 1'!A20:F40,6,FALSE)</f>
        <v>48.296824371361957</v>
      </c>
      <c r="C71" s="99"/>
    </row>
    <row r="72" spans="1:3" x14ac:dyDescent="0.2">
      <c r="A72" s="98" t="s">
        <v>35</v>
      </c>
      <c r="B72" s="100">
        <f>VLOOKUP(A72,'Tabela 1'!A21:F41,6,FALSE)</f>
        <v>44.342566124724677</v>
      </c>
      <c r="C72" s="99"/>
    </row>
    <row r="73" spans="1:3" x14ac:dyDescent="0.2">
      <c r="A73" s="98" t="s">
        <v>36</v>
      </c>
      <c r="B73" s="100">
        <f>VLOOKUP(A73,'Tabela 1'!A22:F42,6,FALSE)</f>
        <v>37.528086076298528</v>
      </c>
      <c r="C73" s="99"/>
    </row>
    <row r="74" spans="1:3" x14ac:dyDescent="0.2">
      <c r="A74" s="98" t="s">
        <v>37</v>
      </c>
      <c r="B74" s="100">
        <f>VLOOKUP(A74,'Tabela 1'!A23:F43,6,FALSE)</f>
        <v>28.247780031979843</v>
      </c>
      <c r="C74" s="99"/>
    </row>
    <row r="75" spans="1:3" x14ac:dyDescent="0.2">
      <c r="A75" s="98" t="s">
        <v>39</v>
      </c>
      <c r="B75" s="100">
        <f>VLOOKUP(A75,'Tabela 1'!A25:F45,6,FALSE)</f>
        <v>27.782515815883297</v>
      </c>
      <c r="C75" s="99"/>
    </row>
    <row r="76" spans="1:3" x14ac:dyDescent="0.2">
      <c r="A76" s="98" t="s">
        <v>38</v>
      </c>
      <c r="B76" s="100">
        <f>VLOOKUP(A76,'Tabela 1'!A24:F44,6,FALSE)</f>
        <v>27.537034286963678</v>
      </c>
      <c r="C76" s="99"/>
    </row>
    <row r="77" spans="1:3" x14ac:dyDescent="0.2">
      <c r="A77" s="98" t="s">
        <v>41</v>
      </c>
      <c r="B77" s="100">
        <f>VLOOKUP(A77,'Tabela 1'!A27:F47,6,FALSE)</f>
        <v>17.742109657796867</v>
      </c>
      <c r="C77" s="99"/>
    </row>
    <row r="78" spans="1:3" x14ac:dyDescent="0.2">
      <c r="A78" s="98" t="s">
        <v>40</v>
      </c>
      <c r="B78" s="100">
        <f>VLOOKUP(A78,'Tabela 1'!A26:F46,6,FALSE)</f>
        <v>17.510091904883492</v>
      </c>
      <c r="C78" s="99"/>
    </row>
    <row r="79" spans="1:3" x14ac:dyDescent="0.2">
      <c r="A79" s="98" t="s">
        <v>42</v>
      </c>
      <c r="B79" s="100">
        <f>VLOOKUP(A79,'Tabela 1'!A28:F48,6,FALSE)</f>
        <v>9.0243725766389726</v>
      </c>
      <c r="C79" s="99"/>
    </row>
    <row r="80" spans="1:3" ht="15.75" x14ac:dyDescent="0.25">
      <c r="A80"/>
    </row>
    <row r="81" spans="1:9" s="51" customFormat="1" ht="24" customHeight="1" x14ac:dyDescent="0.2">
      <c r="A81" s="74" t="s">
        <v>196</v>
      </c>
      <c r="B81" s="74"/>
      <c r="C81" s="74"/>
      <c r="D81" s="74"/>
      <c r="E81" s="74"/>
      <c r="F81" s="74"/>
      <c r="G81" s="74"/>
      <c r="H81" s="74"/>
      <c r="I81" s="74"/>
    </row>
    <row r="82" spans="1:9" ht="15.75" x14ac:dyDescent="0.25">
      <c r="A82"/>
    </row>
    <row r="83" spans="1:9" ht="20.100000000000001" customHeight="1" x14ac:dyDescent="0.2">
      <c r="A83" s="101" t="s">
        <v>193</v>
      </c>
      <c r="B83" s="101" t="s">
        <v>199</v>
      </c>
      <c r="C83" s="101" t="s">
        <v>197</v>
      </c>
      <c r="E83" s="103" t="s">
        <v>198</v>
      </c>
    </row>
    <row r="84" spans="1:9" x14ac:dyDescent="0.2">
      <c r="A84" s="98" t="s">
        <v>24</v>
      </c>
      <c r="B84" s="100">
        <f>VLOOKUP(A84,'Tabela 1'!A8:F29,6,FALSE)</f>
        <v>746.90932958899521</v>
      </c>
      <c r="C84" s="104">
        <f>(B84/$E$84)</f>
        <v>0.3141390833176948</v>
      </c>
      <c r="E84" s="100">
        <v>2377.638979845216</v>
      </c>
    </row>
    <row r="85" spans="1:9" x14ac:dyDescent="0.2">
      <c r="A85" s="98" t="s">
        <v>28</v>
      </c>
      <c r="B85" s="100">
        <f>VLOOKUP(A85,'Tabela 1'!A9:F30,6,FALSE)</f>
        <v>458.3868190315751</v>
      </c>
      <c r="C85" s="104">
        <f t="shared" ref="C85:C102" si="0">(B85/$E$84)</f>
        <v>0.19279075709863069</v>
      </c>
    </row>
    <row r="86" spans="1:9" x14ac:dyDescent="0.2">
      <c r="A86" s="98" t="s">
        <v>27</v>
      </c>
      <c r="B86" s="100">
        <f>VLOOKUP(A86,'Tabela 1'!A10:F31,6,FALSE)</f>
        <v>238.13918341511024</v>
      </c>
      <c r="C86" s="104">
        <f t="shared" si="0"/>
        <v>0.10015783953483681</v>
      </c>
    </row>
    <row r="87" spans="1:9" x14ac:dyDescent="0.2">
      <c r="A87" s="98" t="s">
        <v>25</v>
      </c>
      <c r="B87" s="100">
        <f>VLOOKUP(A87,'Tabela 1'!A11:F32,6,FALSE)</f>
        <v>127.20300298698875</v>
      </c>
      <c r="C87" s="104">
        <f t="shared" si="0"/>
        <v>5.3499712977985267E-2</v>
      </c>
    </row>
    <row r="88" spans="1:9" x14ac:dyDescent="0.2">
      <c r="A88" s="98" t="s">
        <v>26</v>
      </c>
      <c r="B88" s="100">
        <f>VLOOKUP(A88,'Tabela 1'!A12:F33,6,FALSE)</f>
        <v>124.40659930988636</v>
      </c>
      <c r="C88" s="104">
        <f t="shared" si="0"/>
        <v>5.2323586702799268E-2</v>
      </c>
    </row>
    <row r="89" spans="1:9" x14ac:dyDescent="0.2">
      <c r="A89" s="98" t="s">
        <v>29</v>
      </c>
      <c r="B89" s="100">
        <f>VLOOKUP(A89,'Tabela 1'!A13:F34,6,FALSE)</f>
        <v>121.94683620363141</v>
      </c>
      <c r="C89" s="104">
        <f t="shared" si="0"/>
        <v>5.128904650258137E-2</v>
      </c>
    </row>
    <row r="90" spans="1:9" x14ac:dyDescent="0.2">
      <c r="A90" s="98" t="s">
        <v>30</v>
      </c>
      <c r="B90" s="100">
        <f>VLOOKUP(A90,'Tabela 1'!A14:F35,6,FALSE)</f>
        <v>112.90937096268181</v>
      </c>
      <c r="C90" s="104">
        <f t="shared" si="0"/>
        <v>4.7488021486774327E-2</v>
      </c>
    </row>
    <row r="91" spans="1:9" x14ac:dyDescent="0.2">
      <c r="A91" s="98" t="s">
        <v>31</v>
      </c>
      <c r="B91" s="100">
        <f>VLOOKUP(A91,'Tabela 1'!A15:F36,6,FALSE)</f>
        <v>68.481914805047239</v>
      </c>
      <c r="C91" s="104">
        <f t="shared" si="0"/>
        <v>2.8802486578305257E-2</v>
      </c>
    </row>
    <row r="92" spans="1:9" x14ac:dyDescent="0.2">
      <c r="A92" s="98" t="s">
        <v>32</v>
      </c>
      <c r="B92" s="100">
        <f>VLOOKUP(A92,'Tabela 1'!A16:F37,6,FALSE)</f>
        <v>62.481005375934544</v>
      </c>
      <c r="C92" s="104">
        <f t="shared" si="0"/>
        <v>2.6278592294950536E-2</v>
      </c>
    </row>
    <row r="93" spans="1:9" x14ac:dyDescent="0.2">
      <c r="A93" s="98" t="s">
        <v>33</v>
      </c>
      <c r="B93" s="100">
        <f>VLOOKUP(A93,'Tabela 1'!A17:F38,6,FALSE)</f>
        <v>58.76353731883335</v>
      </c>
      <c r="C93" s="104">
        <f t="shared" si="0"/>
        <v>2.4715079882589596E-2</v>
      </c>
    </row>
    <row r="94" spans="1:9" x14ac:dyDescent="0.2">
      <c r="A94" s="98" t="s">
        <v>34</v>
      </c>
      <c r="B94" s="100">
        <f>VLOOKUP(A94,'Tabela 1'!A18:F39,6,FALSE)</f>
        <v>48.296824371361957</v>
      </c>
      <c r="C94" s="104">
        <f t="shared" si="0"/>
        <v>2.0312934293542778E-2</v>
      </c>
    </row>
    <row r="95" spans="1:9" x14ac:dyDescent="0.2">
      <c r="A95" s="98" t="s">
        <v>35</v>
      </c>
      <c r="B95" s="100">
        <f>VLOOKUP(A95,'Tabela 1'!A19:F40,6,FALSE)</f>
        <v>44.342566124724677</v>
      </c>
      <c r="C95" s="104">
        <f t="shared" si="0"/>
        <v>1.8649831408640252E-2</v>
      </c>
    </row>
    <row r="96" spans="1:9" x14ac:dyDescent="0.2">
      <c r="A96" s="98" t="s">
        <v>36</v>
      </c>
      <c r="B96" s="100">
        <f>VLOOKUP(A96,'Tabela 1'!A20:F41,6,FALSE)</f>
        <v>37.528086076298528</v>
      </c>
      <c r="C96" s="104">
        <f t="shared" si="0"/>
        <v>1.5783761283532458E-2</v>
      </c>
    </row>
    <row r="97" spans="1:3" x14ac:dyDescent="0.2">
      <c r="A97" s="98" t="s">
        <v>37</v>
      </c>
      <c r="B97" s="100">
        <f>VLOOKUP(A97,'Tabela 1'!A21:F42,6,FALSE)</f>
        <v>28.247780031979843</v>
      </c>
      <c r="C97" s="104">
        <f t="shared" si="0"/>
        <v>1.1880600995958928E-2</v>
      </c>
    </row>
    <row r="98" spans="1:3" x14ac:dyDescent="0.2">
      <c r="A98" s="98" t="s">
        <v>39</v>
      </c>
      <c r="B98" s="100">
        <f>VLOOKUP(A98,'Tabela 1'!A22:F43,6,FALSE)</f>
        <v>27.782515815883297</v>
      </c>
      <c r="C98" s="104">
        <f t="shared" si="0"/>
        <v>1.1684917706763007E-2</v>
      </c>
    </row>
    <row r="99" spans="1:3" x14ac:dyDescent="0.2">
      <c r="A99" s="98" t="s">
        <v>38</v>
      </c>
      <c r="B99" s="100">
        <f>VLOOKUP(A99,'Tabela 1'!A23:F44,6,FALSE)</f>
        <v>27.537034286963678</v>
      </c>
      <c r="C99" s="104">
        <f t="shared" si="0"/>
        <v>1.1581671784652662E-2</v>
      </c>
    </row>
    <row r="100" spans="1:3" x14ac:dyDescent="0.2">
      <c r="A100" s="98" t="s">
        <v>41</v>
      </c>
      <c r="B100" s="100">
        <f>VLOOKUP(A100,'Tabela 1'!A24:F45,6,FALSE)</f>
        <v>17.742109657796867</v>
      </c>
      <c r="C100" s="104">
        <f t="shared" si="0"/>
        <v>7.4620704859708672E-3</v>
      </c>
    </row>
    <row r="101" spans="1:3" x14ac:dyDescent="0.2">
      <c r="A101" s="98" t="s">
        <v>40</v>
      </c>
      <c r="B101" s="100">
        <f>VLOOKUP(A101,'Tabela 1'!A25:F46,6,FALSE)</f>
        <v>17.510091904883492</v>
      </c>
      <c r="C101" s="104">
        <f t="shared" si="0"/>
        <v>7.364487230110686E-3</v>
      </c>
    </row>
    <row r="102" spans="1:3" x14ac:dyDescent="0.2">
      <c r="A102" s="98" t="s">
        <v>42</v>
      </c>
      <c r="B102" s="100">
        <f>VLOOKUP(A102,'Tabela 1'!A26:F47,6,FALSE)</f>
        <v>9.0243725766389726</v>
      </c>
      <c r="C102" s="104">
        <f t="shared" si="0"/>
        <v>3.7955184336801451E-3</v>
      </c>
    </row>
    <row r="104" spans="1:3" ht="15.75" x14ac:dyDescent="0.25">
      <c r="A104"/>
    </row>
    <row r="105" spans="1:3" ht="15.75" x14ac:dyDescent="0.25">
      <c r="A105"/>
    </row>
    <row r="106" spans="1:3" ht="15.75" x14ac:dyDescent="0.25">
      <c r="A106"/>
    </row>
    <row r="107" spans="1:3" ht="15.75" x14ac:dyDescent="0.25">
      <c r="A107"/>
    </row>
    <row r="108" spans="1:3" ht="15.75" x14ac:dyDescent="0.25">
      <c r="A108"/>
    </row>
    <row r="109" spans="1:3" ht="15.75" x14ac:dyDescent="0.25">
      <c r="A109"/>
    </row>
    <row r="110" spans="1:3" ht="15.75" x14ac:dyDescent="0.25">
      <c r="A110"/>
    </row>
    <row r="111" spans="1:3" ht="15.75" x14ac:dyDescent="0.25">
      <c r="A111"/>
    </row>
    <row r="112" spans="1:3" ht="15.75" x14ac:dyDescent="0.25">
      <c r="A112"/>
    </row>
    <row r="113" spans="1:1" ht="15.75" x14ac:dyDescent="0.25">
      <c r="A113"/>
    </row>
    <row r="114" spans="1:1" ht="15.75" x14ac:dyDescent="0.25">
      <c r="A114"/>
    </row>
    <row r="115" spans="1:1" ht="15.75" x14ac:dyDescent="0.25">
      <c r="A115"/>
    </row>
    <row r="116" spans="1:1" ht="15.75" x14ac:dyDescent="0.25">
      <c r="A116"/>
    </row>
    <row r="117" spans="1:1" ht="15.75" x14ac:dyDescent="0.25">
      <c r="A117"/>
    </row>
    <row r="118" spans="1:1" ht="15.75" x14ac:dyDescent="0.25">
      <c r="A118"/>
    </row>
    <row r="119" spans="1:1" ht="15.75" x14ac:dyDescent="0.25">
      <c r="A119"/>
    </row>
    <row r="120" spans="1:1" ht="15.75" x14ac:dyDescent="0.25">
      <c r="A120"/>
    </row>
    <row r="121" spans="1:1" ht="15.75" x14ac:dyDescent="0.25">
      <c r="A121"/>
    </row>
    <row r="122" spans="1:1" ht="15.75" x14ac:dyDescent="0.25">
      <c r="A122"/>
    </row>
    <row r="123" spans="1:1" ht="15.75" x14ac:dyDescent="0.25">
      <c r="A123"/>
    </row>
    <row r="124" spans="1:1" ht="15.75" x14ac:dyDescent="0.25">
      <c r="A124"/>
    </row>
    <row r="125" spans="1:1" ht="15.75" x14ac:dyDescent="0.25">
      <c r="A125"/>
    </row>
    <row r="126" spans="1:1" ht="15.75" x14ac:dyDescent="0.25">
      <c r="A126"/>
    </row>
    <row r="127" spans="1:1" ht="15.75" x14ac:dyDescent="0.25">
      <c r="A127"/>
    </row>
    <row r="128" spans="1:1" ht="15.75" x14ac:dyDescent="0.25">
      <c r="A128"/>
    </row>
    <row r="129" spans="1:1" ht="15.75" x14ac:dyDescent="0.25">
      <c r="A129"/>
    </row>
    <row r="130" spans="1:1" ht="15.75" x14ac:dyDescent="0.25">
      <c r="A130"/>
    </row>
    <row r="131" spans="1:1" ht="15.75" x14ac:dyDescent="0.25">
      <c r="A131"/>
    </row>
    <row r="132" spans="1:1" ht="15.75" x14ac:dyDescent="0.25">
      <c r="A132"/>
    </row>
    <row r="133" spans="1:1" ht="15.75" x14ac:dyDescent="0.25">
      <c r="A133"/>
    </row>
    <row r="134" spans="1:1" ht="15.75" x14ac:dyDescent="0.25">
      <c r="A134"/>
    </row>
    <row r="135" spans="1:1" ht="15.75" x14ac:dyDescent="0.25">
      <c r="A135"/>
    </row>
    <row r="136" spans="1:1" ht="15.75" x14ac:dyDescent="0.25">
      <c r="A136"/>
    </row>
    <row r="137" spans="1:1" ht="15.75" x14ac:dyDescent="0.25">
      <c r="A137"/>
    </row>
    <row r="138" spans="1:1" ht="15.75" x14ac:dyDescent="0.25">
      <c r="A138"/>
    </row>
  </sheetData>
  <autoFilter ref="A83:C83" xr:uid="{A47F6195-B1F5-4525-A637-72FC5801B299}"/>
  <mergeCells count="5">
    <mergeCell ref="A6:I6"/>
    <mergeCell ref="A23:I23"/>
    <mergeCell ref="A40:I40"/>
    <mergeCell ref="A57:I57"/>
    <mergeCell ref="A81:I81"/>
  </mergeCells>
  <conditionalFormatting sqref="B60:B79">
    <cfRule type="cellIs" dxfId="0" priority="3" operator="lessThan">
      <formula>$D$60</formula>
    </cfRule>
  </conditionalFormatting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Z35"/>
  <sheetViews>
    <sheetView showGridLines="0" zoomScale="76" zoomScaleNormal="76" workbookViewId="0">
      <pane ySplit="8" topLeftCell="A9" activePane="bottomLeft" state="frozen"/>
      <selection activeCell="A105" sqref="A105:XFD296"/>
      <selection pane="bottomLeft" activeCell="F9" sqref="F9"/>
    </sheetView>
  </sheetViews>
  <sheetFormatPr defaultColWidth="8.796875" defaultRowHeight="14.25" customHeight="1" x14ac:dyDescent="0.2"/>
  <cols>
    <col min="1" max="1" width="22.3984375" style="20" customWidth="1"/>
    <col min="2" max="2" width="12.09765625" style="20" customWidth="1"/>
    <col min="3" max="6" width="10.296875" style="20" customWidth="1"/>
    <col min="7" max="7" width="12.09765625" style="20" customWidth="1"/>
    <col min="8" max="11" width="10.19921875" style="20" customWidth="1"/>
    <col min="12" max="12" width="12.09765625" style="20" customWidth="1"/>
    <col min="13" max="16" width="10.296875" style="20" customWidth="1"/>
    <col min="17" max="17" width="11.796875" style="20" customWidth="1"/>
    <col min="18" max="19" width="9" style="20" customWidth="1"/>
    <col min="20" max="20" width="8.796875" style="20"/>
    <col min="21" max="21" width="11.19921875" style="20" bestFit="1" customWidth="1"/>
    <col min="22" max="26" width="11.3984375" style="20" customWidth="1"/>
    <col min="27" max="16384" width="8.796875" style="20"/>
  </cols>
  <sheetData>
    <row r="1" spans="1:26" s="19" customFormat="1" ht="15" customHeight="1" x14ac:dyDescent="0.25">
      <c r="A1" s="19" t="s">
        <v>0</v>
      </c>
    </row>
    <row r="2" spans="1:26" s="19" customFormat="1" ht="15" customHeight="1" x14ac:dyDescent="0.25">
      <c r="A2" s="19" t="s">
        <v>1</v>
      </c>
    </row>
    <row r="3" spans="1:26" s="19" customFormat="1" ht="15" customHeight="1" x14ac:dyDescent="0.25">
      <c r="A3" s="19" t="s">
        <v>2</v>
      </c>
    </row>
    <row r="4" spans="1:26" s="19" customFormat="1" ht="15" customHeight="1" x14ac:dyDescent="0.25">
      <c r="A4" s="25" t="s">
        <v>3</v>
      </c>
    </row>
    <row r="5" spans="1:26" ht="15" customHeight="1" x14ac:dyDescent="0.25">
      <c r="A5" s="25"/>
      <c r="F5" s="38"/>
      <c r="U5" s="38"/>
      <c r="Z5" s="38" t="s">
        <v>15</v>
      </c>
    </row>
    <row r="6" spans="1:26" ht="27.75" customHeight="1" x14ac:dyDescent="0.2">
      <c r="B6" s="75">
        <v>2020</v>
      </c>
      <c r="C6" s="75"/>
      <c r="D6" s="75"/>
      <c r="E6" s="75"/>
      <c r="F6" s="76"/>
      <c r="G6" s="75">
        <v>2021</v>
      </c>
      <c r="H6" s="75"/>
      <c r="I6" s="75"/>
      <c r="J6" s="75"/>
      <c r="K6" s="76"/>
      <c r="L6" s="75">
        <v>2022</v>
      </c>
      <c r="M6" s="75"/>
      <c r="N6" s="75"/>
      <c r="O6" s="75"/>
      <c r="P6" s="76"/>
      <c r="Q6" s="75">
        <v>2023</v>
      </c>
      <c r="R6" s="75"/>
      <c r="S6" s="75"/>
      <c r="T6" s="75"/>
      <c r="U6" s="76"/>
      <c r="V6" s="75">
        <v>2024</v>
      </c>
      <c r="W6" s="75"/>
      <c r="X6" s="75"/>
      <c r="Y6" s="75"/>
      <c r="Z6" s="76"/>
    </row>
    <row r="7" spans="1:26" ht="27.75" customHeight="1" x14ac:dyDescent="0.2">
      <c r="A7" s="59"/>
      <c r="B7" s="77" t="s">
        <v>17</v>
      </c>
      <c r="C7" s="75"/>
      <c r="D7" s="75"/>
      <c r="E7" s="75"/>
      <c r="G7" s="75" t="s">
        <v>17</v>
      </c>
      <c r="H7" s="75"/>
      <c r="I7" s="75"/>
      <c r="J7" s="75"/>
      <c r="L7" s="75" t="s">
        <v>17</v>
      </c>
      <c r="M7" s="75"/>
      <c r="N7" s="75"/>
      <c r="O7" s="75"/>
      <c r="P7" s="42" t="s">
        <v>18</v>
      </c>
      <c r="Q7" s="75" t="s">
        <v>17</v>
      </c>
      <c r="R7" s="75"/>
      <c r="S7" s="75"/>
      <c r="T7" s="75"/>
      <c r="V7" s="75" t="s">
        <v>17</v>
      </c>
      <c r="W7" s="75"/>
      <c r="X7" s="75"/>
      <c r="Y7" s="75"/>
    </row>
    <row r="8" spans="1:26" ht="27.75" customHeight="1" x14ac:dyDescent="0.2">
      <c r="A8" s="59" t="s">
        <v>16</v>
      </c>
      <c r="B8" s="41" t="s">
        <v>19</v>
      </c>
      <c r="C8" s="28" t="s">
        <v>20</v>
      </c>
      <c r="D8" s="28" t="s">
        <v>21</v>
      </c>
      <c r="E8" s="28" t="s">
        <v>22</v>
      </c>
      <c r="F8" s="42" t="s">
        <v>18</v>
      </c>
      <c r="G8" s="28" t="s">
        <v>19</v>
      </c>
      <c r="H8" s="28" t="s">
        <v>20</v>
      </c>
      <c r="I8" s="28" t="s">
        <v>21</v>
      </c>
      <c r="J8" s="28" t="s">
        <v>22</v>
      </c>
      <c r="K8" s="42" t="s">
        <v>18</v>
      </c>
      <c r="L8" s="28" t="s">
        <v>19</v>
      </c>
      <c r="M8" s="28" t="s">
        <v>20</v>
      </c>
      <c r="N8" s="28" t="s">
        <v>21</v>
      </c>
      <c r="O8" s="28" t="s">
        <v>22</v>
      </c>
      <c r="P8" s="43"/>
      <c r="Q8" s="28" t="s">
        <v>19</v>
      </c>
      <c r="R8" s="28" t="s">
        <v>20</v>
      </c>
      <c r="S8" s="28" t="s">
        <v>21</v>
      </c>
      <c r="T8" s="28" t="s">
        <v>22</v>
      </c>
      <c r="U8" s="42" t="s">
        <v>18</v>
      </c>
      <c r="V8" s="28" t="s">
        <v>19</v>
      </c>
      <c r="W8" s="28" t="s">
        <v>20</v>
      </c>
      <c r="X8" s="28" t="s">
        <v>21</v>
      </c>
      <c r="Y8" s="28" t="s">
        <v>22</v>
      </c>
      <c r="Z8" s="42" t="s">
        <v>18</v>
      </c>
    </row>
    <row r="9" spans="1:26" ht="20.100000000000001" customHeight="1" x14ac:dyDescent="0.2">
      <c r="A9" s="29" t="s">
        <v>2</v>
      </c>
      <c r="B9" s="35">
        <v>44.391204973534926</v>
      </c>
      <c r="C9" s="35">
        <v>416.87300737771307</v>
      </c>
      <c r="D9" s="35">
        <v>1553.5860959534807</v>
      </c>
      <c r="E9" s="35">
        <v>2014.8503083047283</v>
      </c>
      <c r="F9" s="35">
        <v>2377.638979845216</v>
      </c>
      <c r="G9" s="35">
        <v>46.19351793601065</v>
      </c>
      <c r="H9" s="35">
        <v>518.29253176639997</v>
      </c>
      <c r="I9" s="35">
        <v>1681.879381417911</v>
      </c>
      <c r="J9" s="35">
        <v>2246.3654311203218</v>
      </c>
      <c r="K9" s="35">
        <v>2719.7512313779212</v>
      </c>
      <c r="L9" s="35">
        <v>42.392265001905287</v>
      </c>
      <c r="M9" s="35">
        <v>641.85327578454633</v>
      </c>
      <c r="N9" s="35">
        <v>1948.4453869960885</v>
      </c>
      <c r="O9" s="35">
        <v>2632.6909277825412</v>
      </c>
      <c r="P9" s="35">
        <v>3130.333202502829</v>
      </c>
      <c r="Q9" s="35">
        <v>41.439984611806075</v>
      </c>
      <c r="R9" s="35">
        <v>610.12475743526375</v>
      </c>
      <c r="S9" s="35">
        <v>2097.324322600457</v>
      </c>
      <c r="T9" s="35">
        <v>2748.889064647527</v>
      </c>
      <c r="U9" s="35">
        <v>3235.3147640226698</v>
      </c>
      <c r="V9" s="35">
        <v>44.335481717042214</v>
      </c>
      <c r="W9" s="35">
        <v>627.52465388222799</v>
      </c>
      <c r="X9" s="35">
        <v>2254.4625562828642</v>
      </c>
      <c r="Y9" s="35">
        <v>2926.3226918821333</v>
      </c>
      <c r="Z9" s="35">
        <v>3480.945783607574</v>
      </c>
    </row>
    <row r="10" spans="1:26" ht="20.100000000000001" customHeight="1" x14ac:dyDescent="0.2">
      <c r="A10" s="2" t="s">
        <v>23</v>
      </c>
      <c r="B10" s="8">
        <v>2.0410631365290763</v>
      </c>
      <c r="C10" s="8">
        <v>142.66711680546217</v>
      </c>
      <c r="D10" s="8">
        <v>885.60153766931842</v>
      </c>
      <c r="E10" s="8">
        <v>1030.3097176113097</v>
      </c>
      <c r="F10" s="8">
        <v>1236.6581153009806</v>
      </c>
      <c r="G10" s="8">
        <v>1.9810301332818216</v>
      </c>
      <c r="H10" s="8">
        <v>168.35213188936461</v>
      </c>
      <c r="I10" s="8">
        <v>945.09476580274566</v>
      </c>
      <c r="J10" s="8">
        <v>1115.4279278253923</v>
      </c>
      <c r="K10" s="8">
        <v>1390.1027687726832</v>
      </c>
      <c r="L10" s="8">
        <v>1.6421450203281351</v>
      </c>
      <c r="M10" s="8">
        <v>197.43739845352678</v>
      </c>
      <c r="N10" s="8">
        <v>1095.9991706001024</v>
      </c>
      <c r="O10" s="8">
        <v>1295.0787140739574</v>
      </c>
      <c r="P10" s="8">
        <v>1582.9595028480296</v>
      </c>
      <c r="Q10" s="8">
        <v>1.1915283621922501</v>
      </c>
      <c r="R10" s="8">
        <v>199.11660233426528</v>
      </c>
      <c r="S10" s="8">
        <v>1193.5073135200653</v>
      </c>
      <c r="T10" s="8">
        <v>1393.8154442165228</v>
      </c>
      <c r="U10" s="8">
        <v>1677.9025721811038</v>
      </c>
      <c r="V10" s="8">
        <v>1.1611818824017728</v>
      </c>
      <c r="W10" s="8">
        <v>209.77102935804291</v>
      </c>
      <c r="X10" s="8">
        <v>1294.126052488313</v>
      </c>
      <c r="Y10" s="8">
        <v>1505.0582637287575</v>
      </c>
      <c r="Z10" s="8">
        <v>1827.0286571332792</v>
      </c>
    </row>
    <row r="11" spans="1:26" ht="20.100000000000001" customHeight="1" x14ac:dyDescent="0.2">
      <c r="A11" s="1" t="s">
        <v>24</v>
      </c>
      <c r="B11" s="4">
        <v>6.1896495580089708E-2</v>
      </c>
      <c r="C11" s="4">
        <v>57.439419218879607</v>
      </c>
      <c r="D11" s="4">
        <v>565.07839768360827</v>
      </c>
      <c r="E11" s="4">
        <v>622.57971339806807</v>
      </c>
      <c r="F11" s="4">
        <v>746.90932958899521</v>
      </c>
      <c r="G11" s="4">
        <v>6.1628252656519444E-2</v>
      </c>
      <c r="H11" s="4">
        <v>62.513855104521454</v>
      </c>
      <c r="I11" s="4">
        <v>598.22109995207859</v>
      </c>
      <c r="J11" s="4">
        <v>660.79658330925656</v>
      </c>
      <c r="K11" s="4">
        <v>828.98060773088071</v>
      </c>
      <c r="L11" s="4">
        <v>4.8301792258812856E-2</v>
      </c>
      <c r="M11" s="4">
        <v>70.058264308903674</v>
      </c>
      <c r="N11" s="4">
        <v>692.45268418180967</v>
      </c>
      <c r="O11" s="4">
        <v>762.55925028297224</v>
      </c>
      <c r="P11" s="4">
        <v>937.13449606170866</v>
      </c>
      <c r="Q11" s="4">
        <v>3.9508388382039822E-2</v>
      </c>
      <c r="R11" s="4">
        <v>74.432204000612529</v>
      </c>
      <c r="S11" s="4">
        <v>769.33180377797351</v>
      </c>
      <c r="T11" s="4">
        <v>843.80351616696805</v>
      </c>
      <c r="U11" s="4">
        <v>1019.6450723966102</v>
      </c>
      <c r="V11" s="4">
        <v>3.9570197050919992E-2</v>
      </c>
      <c r="W11" s="4">
        <v>79.096096536537232</v>
      </c>
      <c r="X11" s="4">
        <v>840.13143347249138</v>
      </c>
      <c r="Y11" s="4">
        <v>919.26710020607948</v>
      </c>
      <c r="Z11" s="4">
        <v>1117.3670366431284</v>
      </c>
    </row>
    <row r="12" spans="1:26" ht="20.100000000000001" customHeight="1" x14ac:dyDescent="0.2">
      <c r="A12" s="2" t="s">
        <v>25</v>
      </c>
      <c r="B12" s="8">
        <v>1.6250191202029769E-2</v>
      </c>
      <c r="C12" s="8">
        <v>29.683086706482239</v>
      </c>
      <c r="D12" s="8">
        <v>77.724161327438921</v>
      </c>
      <c r="E12" s="8">
        <v>107.4234982251232</v>
      </c>
      <c r="F12" s="8">
        <v>127.20300298698875</v>
      </c>
      <c r="G12" s="8">
        <v>1.637616663808621E-2</v>
      </c>
      <c r="H12" s="8">
        <v>38.503717869553199</v>
      </c>
      <c r="I12" s="8">
        <v>85.825819168818938</v>
      </c>
      <c r="J12" s="8">
        <v>124.34591320501022</v>
      </c>
      <c r="K12" s="8">
        <v>150.57637518275135</v>
      </c>
      <c r="L12" s="8">
        <v>1.2500608750443591E-2</v>
      </c>
      <c r="M12" s="8">
        <v>48.20835307314961</v>
      </c>
      <c r="N12" s="8">
        <v>96.22203697336812</v>
      </c>
      <c r="O12" s="8">
        <v>144.44289065526817</v>
      </c>
      <c r="P12" s="8">
        <v>171.07356137026986</v>
      </c>
      <c r="Q12" s="8">
        <v>2.9909680718279716E-3</v>
      </c>
      <c r="R12" s="8">
        <v>46.11093472084589</v>
      </c>
      <c r="S12" s="8">
        <v>101.53953395347644</v>
      </c>
      <c r="T12" s="8">
        <v>147.65345964239415</v>
      </c>
      <c r="U12" s="8">
        <v>173.41898399337185</v>
      </c>
      <c r="V12" s="8">
        <v>2.9546187075404897E-3</v>
      </c>
      <c r="W12" s="8">
        <v>49.353738105762261</v>
      </c>
      <c r="X12" s="8">
        <v>108.72554685146387</v>
      </c>
      <c r="Y12" s="8">
        <v>158.08223957593364</v>
      </c>
      <c r="Z12" s="8">
        <v>188.47467803004128</v>
      </c>
    </row>
    <row r="13" spans="1:26" ht="20.100000000000001" customHeight="1" x14ac:dyDescent="0.2">
      <c r="A13" s="1" t="s">
        <v>26</v>
      </c>
      <c r="B13" s="4">
        <v>1.702721432712309</v>
      </c>
      <c r="C13" s="4">
        <v>26.906489277778416</v>
      </c>
      <c r="D13" s="4">
        <v>76.815874847920469</v>
      </c>
      <c r="E13" s="4">
        <v>105.42508555841118</v>
      </c>
      <c r="F13" s="4">
        <v>124.40659930988636</v>
      </c>
      <c r="G13" s="4">
        <v>1.6554233692310905</v>
      </c>
      <c r="H13" s="4">
        <v>34.609566992564169</v>
      </c>
      <c r="I13" s="4">
        <v>83.758683040615225</v>
      </c>
      <c r="J13" s="4">
        <v>120.02367340241051</v>
      </c>
      <c r="K13" s="4">
        <v>144.83183975007509</v>
      </c>
      <c r="L13" s="4">
        <v>1.3888032507129684</v>
      </c>
      <c r="M13" s="4">
        <v>41.565865049936725</v>
      </c>
      <c r="N13" s="4">
        <v>99.576413789194774</v>
      </c>
      <c r="O13" s="4">
        <v>142.53108208984446</v>
      </c>
      <c r="P13" s="4">
        <v>169.6228497111004</v>
      </c>
      <c r="Q13" s="4">
        <v>1.0051444331027604</v>
      </c>
      <c r="R13" s="4">
        <v>41.080647432377475</v>
      </c>
      <c r="S13" s="4">
        <v>104.96457615531945</v>
      </c>
      <c r="T13" s="4">
        <v>147.05036802079971</v>
      </c>
      <c r="U13" s="4">
        <v>172.61086872507943</v>
      </c>
      <c r="V13" s="4">
        <v>0.97300673999707887</v>
      </c>
      <c r="W13" s="4">
        <v>41.848535961827366</v>
      </c>
      <c r="X13" s="4">
        <v>109.97833302300015</v>
      </c>
      <c r="Y13" s="4">
        <v>152.7998757248246</v>
      </c>
      <c r="Z13" s="4">
        <v>181.78758630174895</v>
      </c>
    </row>
    <row r="14" spans="1:26" ht="20.100000000000001" customHeight="1" x14ac:dyDescent="0.2">
      <c r="A14" s="2" t="s">
        <v>27</v>
      </c>
      <c r="B14" s="8">
        <v>0.26019501703464776</v>
      </c>
      <c r="C14" s="8">
        <v>28.63812160232191</v>
      </c>
      <c r="D14" s="8">
        <v>165.98310381035074</v>
      </c>
      <c r="E14" s="8">
        <v>194.88142042970728</v>
      </c>
      <c r="F14" s="8">
        <v>238.13918341511024</v>
      </c>
      <c r="G14" s="8">
        <v>0.24760234475612569</v>
      </c>
      <c r="H14" s="8">
        <v>32.724991922725756</v>
      </c>
      <c r="I14" s="8">
        <v>177.28916364123305</v>
      </c>
      <c r="J14" s="8">
        <v>210.26175790871494</v>
      </c>
      <c r="K14" s="8">
        <v>265.7139461089759</v>
      </c>
      <c r="L14" s="8">
        <v>0.19253936860591084</v>
      </c>
      <c r="M14" s="8">
        <v>37.604916021536788</v>
      </c>
      <c r="N14" s="8">
        <v>207.74803565572989</v>
      </c>
      <c r="O14" s="8">
        <v>245.54549104587258</v>
      </c>
      <c r="P14" s="8">
        <v>305.12859570495056</v>
      </c>
      <c r="Q14" s="8">
        <v>0.14388457263562188</v>
      </c>
      <c r="R14" s="8">
        <v>37.492816180429386</v>
      </c>
      <c r="S14" s="8">
        <v>217.67139963329601</v>
      </c>
      <c r="T14" s="8">
        <v>255.30810038636099</v>
      </c>
      <c r="U14" s="8">
        <v>312.22764706604204</v>
      </c>
      <c r="V14" s="8">
        <v>0.14565032664623317</v>
      </c>
      <c r="W14" s="8">
        <v>39.472658753916079</v>
      </c>
      <c r="X14" s="8">
        <v>235.29073914135765</v>
      </c>
      <c r="Y14" s="8">
        <v>274.90904822191999</v>
      </c>
      <c r="Z14" s="8">
        <v>339.3993561583606</v>
      </c>
    </row>
    <row r="15" spans="1:26" ht="20.100000000000001" customHeight="1" x14ac:dyDescent="0.2">
      <c r="A15" s="1" t="s">
        <v>28</v>
      </c>
      <c r="B15" s="4">
        <v>7.5339475411767101</v>
      </c>
      <c r="C15" s="4">
        <v>120.28107599530637</v>
      </c>
      <c r="D15" s="4">
        <v>251.45847072838311</v>
      </c>
      <c r="E15" s="4">
        <v>379.2734942648662</v>
      </c>
      <c r="F15" s="4">
        <v>458.3868190315751</v>
      </c>
      <c r="G15" s="4">
        <v>8.6216052363757978</v>
      </c>
      <c r="H15" s="4">
        <v>149.45972051628311</v>
      </c>
      <c r="I15" s="4">
        <v>278.10533916890364</v>
      </c>
      <c r="J15" s="4">
        <v>436.18666492156257</v>
      </c>
      <c r="K15" s="4">
        <v>535.66390382245584</v>
      </c>
      <c r="L15" s="4">
        <v>8.475572772446446</v>
      </c>
      <c r="M15" s="4">
        <v>184.05519267279226</v>
      </c>
      <c r="N15" s="4">
        <v>319.31432308745707</v>
      </c>
      <c r="O15" s="4">
        <v>511.84508853269591</v>
      </c>
      <c r="P15" s="4">
        <v>617.04449564108154</v>
      </c>
      <c r="Q15" s="4">
        <v>8.207614347731937</v>
      </c>
      <c r="R15" s="4">
        <v>173.44108191002155</v>
      </c>
      <c r="S15" s="4">
        <v>337.00383596168768</v>
      </c>
      <c r="T15" s="4">
        <v>518.65253221944113</v>
      </c>
      <c r="U15" s="4">
        <v>619.25106208164084</v>
      </c>
      <c r="V15" s="4">
        <v>10.721378534245343</v>
      </c>
      <c r="W15" s="4">
        <v>175.17560924102528</v>
      </c>
      <c r="X15" s="4">
        <v>360.72468044701753</v>
      </c>
      <c r="Y15" s="4">
        <v>546.62166822228812</v>
      </c>
      <c r="Z15" s="4">
        <v>662.4768179537009</v>
      </c>
    </row>
    <row r="16" spans="1:26" s="58" customFormat="1" ht="18.75" customHeight="1" x14ac:dyDescent="0.2">
      <c r="A16" s="56" t="s">
        <v>29</v>
      </c>
      <c r="B16" s="57">
        <v>0.57212873537148623</v>
      </c>
      <c r="C16" s="57">
        <v>39.848667679751678</v>
      </c>
      <c r="D16" s="57">
        <v>65.674151518557494</v>
      </c>
      <c r="E16" s="57">
        <v>106.09494793368066</v>
      </c>
      <c r="F16" s="57">
        <v>121.94683620363141</v>
      </c>
      <c r="G16" s="57">
        <v>0.62652656464245271</v>
      </c>
      <c r="H16" s="57">
        <v>61.18365804205709</v>
      </c>
      <c r="I16" s="57">
        <v>75.20060030158804</v>
      </c>
      <c r="J16" s="57">
        <v>137.01078490828758</v>
      </c>
      <c r="K16" s="57">
        <v>157.33091870465458</v>
      </c>
      <c r="L16" s="57">
        <v>0.66832636112297783</v>
      </c>
      <c r="M16" s="57">
        <v>83.204329930414559</v>
      </c>
      <c r="N16" s="57">
        <v>86.156070923573012</v>
      </c>
      <c r="O16" s="57">
        <v>170.02872721511054</v>
      </c>
      <c r="P16" s="57">
        <v>184.90460516428442</v>
      </c>
      <c r="Q16" s="57">
        <v>0.5402040555800397</v>
      </c>
      <c r="R16" s="57">
        <v>71.091360455897146</v>
      </c>
      <c r="S16" s="57">
        <v>90.107221230671712</v>
      </c>
      <c r="T16" s="57">
        <v>161.73878574214891</v>
      </c>
      <c r="U16" s="57">
        <v>175.88100258190661</v>
      </c>
      <c r="V16" s="57">
        <v>0.78135493248400367</v>
      </c>
      <c r="W16" s="57">
        <v>69.410590303707679</v>
      </c>
      <c r="X16" s="57">
        <v>94.596887319826124</v>
      </c>
      <c r="Y16" s="57">
        <v>164.78883255601781</v>
      </c>
      <c r="Z16" s="57">
        <v>181.74255402120221</v>
      </c>
    </row>
    <row r="17" spans="1:26" ht="20.100000000000001" customHeight="1" x14ac:dyDescent="0.2">
      <c r="A17" s="1" t="s">
        <v>30</v>
      </c>
      <c r="B17" s="4">
        <v>4.1700381144305645</v>
      </c>
      <c r="C17" s="4">
        <v>26.847086083234689</v>
      </c>
      <c r="D17" s="4">
        <v>64.555591196954353</v>
      </c>
      <c r="E17" s="4">
        <v>95.572715394619607</v>
      </c>
      <c r="F17" s="4">
        <v>112.90937096268181</v>
      </c>
      <c r="G17" s="4">
        <v>4.2975388068922751</v>
      </c>
      <c r="H17" s="4">
        <v>35.544199922311698</v>
      </c>
      <c r="I17" s="4">
        <v>72.601340027456374</v>
      </c>
      <c r="J17" s="4">
        <v>112.44307875666037</v>
      </c>
      <c r="K17" s="4">
        <v>135.34799416503395</v>
      </c>
      <c r="L17" s="4">
        <v>3.6407756533197699</v>
      </c>
      <c r="M17" s="4">
        <v>44.490531957388015</v>
      </c>
      <c r="N17" s="4">
        <v>84.351241276324942</v>
      </c>
      <c r="O17" s="4">
        <v>132.48254888703272</v>
      </c>
      <c r="P17" s="4">
        <v>157.19588993119538</v>
      </c>
      <c r="Q17" s="4">
        <v>4.2211339901151375</v>
      </c>
      <c r="R17" s="4">
        <v>41.559687643265114</v>
      </c>
      <c r="S17" s="4">
        <v>91.733286274140951</v>
      </c>
      <c r="T17" s="4">
        <v>137.51410790752121</v>
      </c>
      <c r="U17" s="4">
        <v>162.23638140691929</v>
      </c>
      <c r="V17" s="4">
        <v>4.4153380146672321</v>
      </c>
      <c r="W17" s="4">
        <v>43.303562364908977</v>
      </c>
      <c r="X17" s="4">
        <v>96.83964344839346</v>
      </c>
      <c r="Y17" s="4">
        <v>144.55854382796966</v>
      </c>
      <c r="Z17" s="4">
        <v>172.91575769262474</v>
      </c>
    </row>
    <row r="18" spans="1:26" ht="20.100000000000001" customHeight="1" x14ac:dyDescent="0.2">
      <c r="A18" s="39" t="s">
        <v>31</v>
      </c>
      <c r="B18" s="8">
        <v>0.15717601748587678</v>
      </c>
      <c r="C18" s="8">
        <v>13.629750122795347</v>
      </c>
      <c r="D18" s="8">
        <v>46.807036457623617</v>
      </c>
      <c r="E18" s="8">
        <v>60.593962597904842</v>
      </c>
      <c r="F18" s="8">
        <v>68.481914805047239</v>
      </c>
      <c r="G18" s="8">
        <v>0.17547090013867916</v>
      </c>
      <c r="H18" s="8">
        <v>17.980347254083515</v>
      </c>
      <c r="I18" s="8">
        <v>51.116599402430239</v>
      </c>
      <c r="J18" s="8">
        <v>69.272417556652428</v>
      </c>
      <c r="K18" s="8">
        <v>79.037792126372238</v>
      </c>
      <c r="L18" s="8">
        <v>0.14806260206345603</v>
      </c>
      <c r="M18" s="8">
        <v>27.955025882921497</v>
      </c>
      <c r="N18" s="8">
        <v>59.657185436396119</v>
      </c>
      <c r="O18" s="8">
        <v>87.760273921381085</v>
      </c>
      <c r="P18" s="8">
        <v>97.273671434486786</v>
      </c>
      <c r="Q18" s="8">
        <v>0.16724607446589662</v>
      </c>
      <c r="R18" s="8">
        <v>21.434568956331823</v>
      </c>
      <c r="S18" s="8">
        <v>63.217617498271629</v>
      </c>
      <c r="T18" s="8">
        <v>84.819432529069346</v>
      </c>
      <c r="U18" s="8">
        <v>94.637100885070765</v>
      </c>
      <c r="V18" s="8">
        <v>0.16274514501448362</v>
      </c>
      <c r="W18" s="8">
        <v>22.088407749009363</v>
      </c>
      <c r="X18" s="8">
        <v>66.114607965336333</v>
      </c>
      <c r="Y18" s="8">
        <v>88.365760859360194</v>
      </c>
      <c r="Z18" s="8">
        <v>99.768430344512467</v>
      </c>
    </row>
    <row r="19" spans="1:26" ht="20.100000000000001" customHeight="1" x14ac:dyDescent="0.2">
      <c r="A19" s="1" t="s">
        <v>32</v>
      </c>
      <c r="B19" s="4">
        <v>2.3007602508048044</v>
      </c>
      <c r="C19" s="4">
        <v>10.467087998119839</v>
      </c>
      <c r="D19" s="4">
        <v>42.860963744416992</v>
      </c>
      <c r="E19" s="4">
        <v>55.628811993341643</v>
      </c>
      <c r="F19" s="4">
        <v>62.481005375934544</v>
      </c>
      <c r="G19" s="4">
        <v>2.5421202716232241</v>
      </c>
      <c r="H19" s="4">
        <v>12.734703790059692</v>
      </c>
      <c r="I19" s="4">
        <v>46.356367138434621</v>
      </c>
      <c r="J19" s="4">
        <v>61.633191200117537</v>
      </c>
      <c r="K19" s="4">
        <v>70.272388667751571</v>
      </c>
      <c r="L19" s="4">
        <v>2.3840010538695648</v>
      </c>
      <c r="M19" s="4">
        <v>15.181234363631937</v>
      </c>
      <c r="N19" s="4">
        <v>53.825826034137314</v>
      </c>
      <c r="O19" s="4">
        <v>71.391061451638819</v>
      </c>
      <c r="P19" s="4">
        <v>81.066841862932861</v>
      </c>
      <c r="Q19" s="4">
        <v>2.1815779207812622</v>
      </c>
      <c r="R19" s="4">
        <v>15.039151133384113</v>
      </c>
      <c r="S19" s="4">
        <v>56.873643682020528</v>
      </c>
      <c r="T19" s="4">
        <v>74.094372736185903</v>
      </c>
      <c r="U19" s="4">
        <v>82.950468662123683</v>
      </c>
      <c r="V19" s="4">
        <v>2.3152639975143283</v>
      </c>
      <c r="W19" s="4">
        <v>15.809711926531604</v>
      </c>
      <c r="X19" s="4">
        <v>62.291722992152181</v>
      </c>
      <c r="Y19" s="4">
        <v>80.416698916198115</v>
      </c>
      <c r="Z19" s="4">
        <v>90.940203333337479</v>
      </c>
    </row>
    <row r="20" spans="1:26" ht="20.100000000000001" customHeight="1" x14ac:dyDescent="0.2">
      <c r="A20" s="2" t="s">
        <v>33</v>
      </c>
      <c r="B20" s="8">
        <v>4.3759221750174628</v>
      </c>
      <c r="C20" s="8">
        <v>10.105976012844929</v>
      </c>
      <c r="D20" s="8">
        <v>39.073830304095985</v>
      </c>
      <c r="E20" s="8">
        <v>53.555728491958362</v>
      </c>
      <c r="F20" s="8">
        <v>58.76353731883335</v>
      </c>
      <c r="G20" s="8">
        <v>4.5621968899939631</v>
      </c>
      <c r="H20" s="8">
        <v>11.086823713976559</v>
      </c>
      <c r="I20" s="8">
        <v>42.507353509938248</v>
      </c>
      <c r="J20" s="8">
        <v>58.156374113908768</v>
      </c>
      <c r="K20" s="8">
        <v>64.810406148723814</v>
      </c>
      <c r="L20" s="8">
        <v>4.3413491496430465</v>
      </c>
      <c r="M20" s="8">
        <v>13.02171979384001</v>
      </c>
      <c r="N20" s="8">
        <v>49.496499316995504</v>
      </c>
      <c r="O20" s="8">
        <v>66.859568260478568</v>
      </c>
      <c r="P20" s="8">
        <v>74.871908102776459</v>
      </c>
      <c r="Q20" s="8">
        <v>4.4917901590318188</v>
      </c>
      <c r="R20" s="8">
        <v>13.437578334902105</v>
      </c>
      <c r="S20" s="8">
        <v>53.018677592231732</v>
      </c>
      <c r="T20" s="8">
        <v>70.948046086165661</v>
      </c>
      <c r="U20" s="8">
        <v>78.649861224760855</v>
      </c>
      <c r="V20" s="8">
        <v>4.5990306436816368</v>
      </c>
      <c r="W20" s="8">
        <v>13.997057109133824</v>
      </c>
      <c r="X20" s="8">
        <v>56.860254039376869</v>
      </c>
      <c r="Y20" s="8">
        <v>75.456341792192319</v>
      </c>
      <c r="Z20" s="8">
        <v>84.35365782713184</v>
      </c>
    </row>
    <row r="21" spans="1:26" ht="20.100000000000001" customHeight="1" x14ac:dyDescent="0.2">
      <c r="A21" s="1" t="s">
        <v>34</v>
      </c>
      <c r="B21" s="4">
        <v>2.107406475116858</v>
      </c>
      <c r="C21" s="4">
        <v>11.951047629520346</v>
      </c>
      <c r="D21" s="4">
        <v>29.009672647216291</v>
      </c>
      <c r="E21" s="4">
        <v>43.068126751853498</v>
      </c>
      <c r="F21" s="4">
        <v>48.296824371361957</v>
      </c>
      <c r="G21" s="4">
        <v>2.2581051518133477</v>
      </c>
      <c r="H21" s="4">
        <v>14.015656118445992</v>
      </c>
      <c r="I21" s="4">
        <v>31.407154196685259</v>
      </c>
      <c r="J21" s="4">
        <v>47.680915466944604</v>
      </c>
      <c r="K21" s="4">
        <v>54.231476034596731</v>
      </c>
      <c r="L21" s="4">
        <v>2.049709291283822</v>
      </c>
      <c r="M21" s="4">
        <v>17.762645753653899</v>
      </c>
      <c r="N21" s="4">
        <v>36.551330794215367</v>
      </c>
      <c r="O21" s="4">
        <v>56.363685839153092</v>
      </c>
      <c r="P21" s="4">
        <v>63.613271243186162</v>
      </c>
      <c r="Q21" s="4">
        <v>1.7605231107485171</v>
      </c>
      <c r="R21" s="4">
        <v>16.909345385491442</v>
      </c>
      <c r="S21" s="4">
        <v>38.428836038827427</v>
      </c>
      <c r="T21" s="4">
        <v>57.098704535067391</v>
      </c>
      <c r="U21" s="4">
        <v>63.976251991198183</v>
      </c>
      <c r="V21" s="4">
        <v>1.6642018162634669</v>
      </c>
      <c r="W21" s="4">
        <v>17.901296451830564</v>
      </c>
      <c r="X21" s="4">
        <v>39.956196106580272</v>
      </c>
      <c r="Y21" s="4">
        <v>59.521694374674304</v>
      </c>
      <c r="Z21" s="4">
        <v>67.362958856325449</v>
      </c>
    </row>
    <row r="22" spans="1:26" ht="20.100000000000001" customHeight="1" x14ac:dyDescent="0.2">
      <c r="A22" s="2" t="s">
        <v>35</v>
      </c>
      <c r="B22" s="8">
        <v>1.8903250096798925</v>
      </c>
      <c r="C22" s="8">
        <v>11.003686832545842</v>
      </c>
      <c r="D22" s="8">
        <v>26.328124717283984</v>
      </c>
      <c r="E22" s="8">
        <v>39.222136559509721</v>
      </c>
      <c r="F22" s="8">
        <v>44.342566124724677</v>
      </c>
      <c r="G22" s="8">
        <v>1.8499380695086138</v>
      </c>
      <c r="H22" s="8">
        <v>12.818951005267211</v>
      </c>
      <c r="I22" s="8">
        <v>28.377777284453906</v>
      </c>
      <c r="J22" s="8">
        <v>43.046666359229725</v>
      </c>
      <c r="K22" s="8">
        <v>49.554156354707075</v>
      </c>
      <c r="L22" s="8">
        <v>1.8470605027729785</v>
      </c>
      <c r="M22" s="8">
        <v>14.987146899536237</v>
      </c>
      <c r="N22" s="8">
        <v>32.616869708315342</v>
      </c>
      <c r="O22" s="8">
        <v>49.451077110624553</v>
      </c>
      <c r="P22" s="8">
        <v>56.349585498225878</v>
      </c>
      <c r="Q22" s="8">
        <v>1.9955523356777967</v>
      </c>
      <c r="R22" s="8">
        <v>15.879210115824231</v>
      </c>
      <c r="S22" s="8">
        <v>35.358856799615317</v>
      </c>
      <c r="T22" s="8">
        <v>53.233619251117346</v>
      </c>
      <c r="U22" s="8">
        <v>60.089943712238608</v>
      </c>
      <c r="V22" s="8">
        <v>2.0633001357795067</v>
      </c>
      <c r="W22" s="8">
        <v>17.488695014054379</v>
      </c>
      <c r="X22" s="8">
        <v>37.425968794588805</v>
      </c>
      <c r="Y22" s="8">
        <v>56.977963944422683</v>
      </c>
      <c r="Z22" s="8">
        <v>65.20176868536582</v>
      </c>
    </row>
    <row r="23" spans="1:26" ht="20.100000000000001" customHeight="1" x14ac:dyDescent="0.2">
      <c r="A23" s="1" t="s">
        <v>36</v>
      </c>
      <c r="B23" s="4">
        <v>3.5314516486212333</v>
      </c>
      <c r="C23" s="4">
        <v>6.7803655433509613</v>
      </c>
      <c r="D23" s="4">
        <v>23.740494464743723</v>
      </c>
      <c r="E23" s="4">
        <v>34.052311656715915</v>
      </c>
      <c r="F23" s="4">
        <v>37.528086076298528</v>
      </c>
      <c r="G23" s="4">
        <v>3.4924076925720171</v>
      </c>
      <c r="H23" s="4">
        <v>7.6880686215309035</v>
      </c>
      <c r="I23" s="4">
        <v>26.111695366843183</v>
      </c>
      <c r="J23" s="4">
        <v>37.292171680946105</v>
      </c>
      <c r="K23" s="4">
        <v>41.78844265892436</v>
      </c>
      <c r="L23" s="4">
        <v>2.9065292670495877</v>
      </c>
      <c r="M23" s="4">
        <v>10.385375704495814</v>
      </c>
      <c r="N23" s="4">
        <v>30.437560220922148</v>
      </c>
      <c r="O23" s="4">
        <v>43.729465192467543</v>
      </c>
      <c r="P23" s="4">
        <v>49.218155949536815</v>
      </c>
      <c r="Q23" s="4">
        <v>2.8399655795898782</v>
      </c>
      <c r="R23" s="4">
        <v>10.82491827007496</v>
      </c>
      <c r="S23" s="4">
        <v>31.64077685901016</v>
      </c>
      <c r="T23" s="4">
        <v>45.305660708674999</v>
      </c>
      <c r="U23" s="4">
        <v>50.475158678731113</v>
      </c>
      <c r="V23" s="4">
        <v>2.5200739577612077</v>
      </c>
      <c r="W23" s="4">
        <v>10.706061611221546</v>
      </c>
      <c r="X23" s="4">
        <v>33.09745266433584</v>
      </c>
      <c r="Y23" s="4">
        <v>46.323588233318596</v>
      </c>
      <c r="Z23" s="4">
        <v>51.827827635895353</v>
      </c>
    </row>
    <row r="24" spans="1:26" ht="20.100000000000001" customHeight="1" x14ac:dyDescent="0.2">
      <c r="A24" s="2" t="s">
        <v>37</v>
      </c>
      <c r="B24" s="8">
        <v>2.3314869200248598</v>
      </c>
      <c r="C24" s="8">
        <v>5.6540136721782304</v>
      </c>
      <c r="D24" s="8">
        <v>18.112516573256158</v>
      </c>
      <c r="E24" s="8">
        <v>26.098017165459254</v>
      </c>
      <c r="F24" s="8">
        <v>28.247780031979843</v>
      </c>
      <c r="G24" s="8">
        <v>2.5983687465616594</v>
      </c>
      <c r="H24" s="8">
        <v>5.8453505108404773</v>
      </c>
      <c r="I24" s="8">
        <v>19.511002208840399</v>
      </c>
      <c r="J24" s="8">
        <v>27.954721466242535</v>
      </c>
      <c r="K24" s="8">
        <v>30.785242677078173</v>
      </c>
      <c r="L24" s="8">
        <v>2.3043830622255888</v>
      </c>
      <c r="M24" s="8">
        <v>6.6575284871596043</v>
      </c>
      <c r="N24" s="8">
        <v>22.759565058886476</v>
      </c>
      <c r="O24" s="8">
        <v>31.721476608271669</v>
      </c>
      <c r="P24" s="8">
        <v>35.433940607670905</v>
      </c>
      <c r="Q24" s="8">
        <v>2.2924328760796793</v>
      </c>
      <c r="R24" s="8">
        <v>6.6227187429531114</v>
      </c>
      <c r="S24" s="8">
        <v>24.331295611536166</v>
      </c>
      <c r="T24" s="8">
        <v>33.246447230568954</v>
      </c>
      <c r="U24" s="8">
        <v>36.853746000803376</v>
      </c>
      <c r="V24" s="8">
        <v>1.9238628094605479</v>
      </c>
      <c r="W24" s="8">
        <v>6.9469191574158984</v>
      </c>
      <c r="X24" s="8">
        <v>25.458864907310527</v>
      </c>
      <c r="Y24" s="8">
        <v>34.329646874186977</v>
      </c>
      <c r="Z24" s="8">
        <v>38.133898849311414</v>
      </c>
    </row>
    <row r="25" spans="1:26" ht="20.100000000000001" customHeight="1" x14ac:dyDescent="0.2">
      <c r="A25" s="1" t="s">
        <v>38</v>
      </c>
      <c r="B25" s="4">
        <v>2.6070544141610443</v>
      </c>
      <c r="C25" s="4">
        <v>4.8337221530588588</v>
      </c>
      <c r="D25" s="4">
        <v>17.829939057658411</v>
      </c>
      <c r="E25" s="4">
        <v>25.270715624878317</v>
      </c>
      <c r="F25" s="4">
        <v>27.537034286963678</v>
      </c>
      <c r="G25" s="4">
        <v>2.7188282944768636</v>
      </c>
      <c r="H25" s="4">
        <v>5.3179528548772801</v>
      </c>
      <c r="I25" s="4">
        <v>19.060682481121763</v>
      </c>
      <c r="J25" s="4">
        <v>27.097463630475904</v>
      </c>
      <c r="K25" s="4">
        <v>29.856407507521205</v>
      </c>
      <c r="L25" s="4">
        <v>2.4973135064042453</v>
      </c>
      <c r="M25" s="4">
        <v>6.4813274873577562</v>
      </c>
      <c r="N25" s="4">
        <v>22.286588967409632</v>
      </c>
      <c r="O25" s="4">
        <v>31.265229961171634</v>
      </c>
      <c r="P25" s="4">
        <v>34.813555321432382</v>
      </c>
      <c r="Q25" s="4">
        <v>2.471322815785816</v>
      </c>
      <c r="R25" s="4">
        <v>6.2530532428744978</v>
      </c>
      <c r="S25" s="4">
        <v>23.656489096561177</v>
      </c>
      <c r="T25" s="4">
        <v>32.380865155221493</v>
      </c>
      <c r="U25" s="4">
        <v>35.796339686656374</v>
      </c>
      <c r="V25" s="4">
        <v>2.4372372142119785</v>
      </c>
      <c r="W25" s="4">
        <v>6.3161698222577218</v>
      </c>
      <c r="X25" s="4">
        <v>24.770903432374819</v>
      </c>
      <c r="Y25" s="4">
        <v>33.524310468844519</v>
      </c>
      <c r="Z25" s="4">
        <v>37.289091988471526</v>
      </c>
    </row>
    <row r="26" spans="1:26" ht="20.100000000000001" customHeight="1" x14ac:dyDescent="0.2">
      <c r="A26" s="2" t="s">
        <v>39</v>
      </c>
      <c r="B26" s="8">
        <v>2.8411493197993254</v>
      </c>
      <c r="C26" s="8">
        <v>5.7636994016127439</v>
      </c>
      <c r="D26" s="8">
        <v>16.669529601239034</v>
      </c>
      <c r="E26" s="8">
        <v>25.274378322651103</v>
      </c>
      <c r="F26" s="8">
        <v>27.782515815883297</v>
      </c>
      <c r="G26" s="8">
        <v>3.0897769511520883</v>
      </c>
      <c r="H26" s="8">
        <v>7.0883257372026485</v>
      </c>
      <c r="I26" s="8">
        <v>18.088892920860193</v>
      </c>
      <c r="J26" s="8">
        <v>28.266995609214931</v>
      </c>
      <c r="K26" s="8">
        <v>31.376275285782569</v>
      </c>
      <c r="L26" s="8">
        <v>3.0763550409908311</v>
      </c>
      <c r="M26" s="8">
        <v>8.6541595287061401</v>
      </c>
      <c r="N26" s="8">
        <v>20.851031407535654</v>
      </c>
      <c r="O26" s="8">
        <v>32.581545977232629</v>
      </c>
      <c r="P26" s="8">
        <v>36.818081386598315</v>
      </c>
      <c r="Q26" s="8">
        <v>3.1576956008270489</v>
      </c>
      <c r="R26" s="8">
        <v>8.2796593144086952</v>
      </c>
      <c r="S26" s="8">
        <v>21.980833333603051</v>
      </c>
      <c r="T26" s="8">
        <v>33.418188248838796</v>
      </c>
      <c r="U26" s="8">
        <v>37.712153738026664</v>
      </c>
      <c r="V26" s="8">
        <v>3.6915254529848349</v>
      </c>
      <c r="W26" s="8">
        <v>8.0507734316208435</v>
      </c>
      <c r="X26" s="8">
        <v>23.503749088562166</v>
      </c>
      <c r="Y26" s="8">
        <v>35.246047973167855</v>
      </c>
      <c r="Z26" s="8">
        <v>40.185894002729917</v>
      </c>
    </row>
    <row r="27" spans="1:26" ht="20.100000000000001" customHeight="1" x14ac:dyDescent="0.2">
      <c r="A27" s="1" t="s">
        <v>40</v>
      </c>
      <c r="B27" s="4">
        <v>5.1737885290756926</v>
      </c>
      <c r="C27" s="4">
        <v>1.8798745711708666</v>
      </c>
      <c r="D27" s="4">
        <v>9.3510010897939679</v>
      </c>
      <c r="E27" s="4">
        <v>16.404664190040528</v>
      </c>
      <c r="F27" s="4">
        <v>17.510091904883492</v>
      </c>
      <c r="G27" s="4">
        <v>4.6488538573143723</v>
      </c>
      <c r="H27" s="4">
        <v>2.1056747103745281</v>
      </c>
      <c r="I27" s="4">
        <v>10.024352757748895</v>
      </c>
      <c r="J27" s="4">
        <v>16.778881325437794</v>
      </c>
      <c r="K27" s="4">
        <v>18.278244712389629</v>
      </c>
      <c r="L27" s="4">
        <v>3.8548344095241309</v>
      </c>
      <c r="M27" s="4">
        <v>2.3864179410968189</v>
      </c>
      <c r="N27" s="4">
        <v>12.387572400519215</v>
      </c>
      <c r="O27" s="4">
        <v>18.628824751140165</v>
      </c>
      <c r="P27" s="4">
        <v>21.545140838478833</v>
      </c>
      <c r="Q27" s="4">
        <v>3.564385542153127</v>
      </c>
      <c r="R27" s="4">
        <v>2.3130668366168874</v>
      </c>
      <c r="S27" s="4">
        <v>13.057066980337929</v>
      </c>
      <c r="T27" s="4">
        <v>18.934519359107945</v>
      </c>
      <c r="U27" s="4">
        <v>21.667799516022093</v>
      </c>
      <c r="V27" s="4">
        <v>3.5747459381786251</v>
      </c>
      <c r="W27" s="4">
        <v>2.4660847131634522</v>
      </c>
      <c r="X27" s="4">
        <v>13.645754992966715</v>
      </c>
      <c r="Y27" s="4">
        <v>19.686585644308796</v>
      </c>
      <c r="Z27" s="4">
        <v>22.308736565393172</v>
      </c>
    </row>
    <row r="28" spans="1:26" ht="20.100000000000001" customHeight="1" x14ac:dyDescent="0.2">
      <c r="A28" s="2" t="s">
        <v>41</v>
      </c>
      <c r="B28" s="8">
        <v>1.4625643498469747</v>
      </c>
      <c r="C28" s="8">
        <v>3.4566055631921224</v>
      </c>
      <c r="D28" s="8">
        <v>11.123904636857681</v>
      </c>
      <c r="E28" s="8">
        <v>16.043074549896776</v>
      </c>
      <c r="F28" s="8">
        <v>17.742109657796867</v>
      </c>
      <c r="G28" s="8">
        <v>1.4557008402902665</v>
      </c>
      <c r="H28" s="8">
        <v>4.439409928564257</v>
      </c>
      <c r="I28" s="8">
        <v>12.430746241951038</v>
      </c>
      <c r="J28" s="8">
        <v>18.32585701080556</v>
      </c>
      <c r="K28" s="8">
        <v>20.593131372362286</v>
      </c>
      <c r="L28" s="8">
        <v>1.3334190860435984</v>
      </c>
      <c r="M28" s="8">
        <v>5.3065718266103978</v>
      </c>
      <c r="N28" s="8">
        <v>14.824209717079029</v>
      </c>
      <c r="O28" s="8">
        <v>21.464200629733025</v>
      </c>
      <c r="P28" s="8">
        <v>24.207961693959028</v>
      </c>
      <c r="Q28" s="8">
        <v>1.2610060479236678</v>
      </c>
      <c r="R28" s="8">
        <v>5.0392515830859894</v>
      </c>
      <c r="S28" s="8">
        <v>15.889458529732007</v>
      </c>
      <c r="T28" s="8">
        <v>22.189716160741668</v>
      </c>
      <c r="U28" s="8">
        <v>24.801938672332835</v>
      </c>
      <c r="V28" s="8">
        <v>1.1676101040050384</v>
      </c>
      <c r="W28" s="8">
        <v>5.4968880114767407</v>
      </c>
      <c r="X28" s="8">
        <v>17.036324943971298</v>
      </c>
      <c r="Y28" s="8">
        <v>23.700823059453079</v>
      </c>
      <c r="Z28" s="8">
        <v>26.697933798734628</v>
      </c>
    </row>
    <row r="29" spans="1:26" ht="20.100000000000001" customHeight="1" x14ac:dyDescent="0.2">
      <c r="A29" s="1" t="s">
        <v>42</v>
      </c>
      <c r="B29" s="4">
        <v>1.2949423363930725</v>
      </c>
      <c r="C29" s="4">
        <v>1.7032313135680461</v>
      </c>
      <c r="D29" s="4">
        <v>5.3893315460813644</v>
      </c>
      <c r="E29" s="4">
        <v>8.3875051960424827</v>
      </c>
      <c r="F29" s="4">
        <v>9.0243725766389726</v>
      </c>
      <c r="G29" s="4">
        <v>1.2750495293732043</v>
      </c>
      <c r="H29" s="4">
        <v>2.631557151160369</v>
      </c>
      <c r="I29" s="4">
        <v>5.8847126079094085</v>
      </c>
      <c r="J29" s="4">
        <v>9.7913192884429812</v>
      </c>
      <c r="K29" s="4">
        <v>10.721682366884037</v>
      </c>
      <c r="L29" s="4">
        <v>1.2224282228170993</v>
      </c>
      <c r="M29" s="4">
        <v>3.8866691014145069</v>
      </c>
      <c r="N29" s="4">
        <v>6.9303420462192813</v>
      </c>
      <c r="O29" s="4">
        <v>12.039439370450888</v>
      </c>
      <c r="P29" s="4">
        <v>13.016594978953227</v>
      </c>
      <c r="Q29" s="46">
        <v>1.0960057931222125</v>
      </c>
      <c r="R29" s="46">
        <v>2.8835031758668692</v>
      </c>
      <c r="S29" s="46">
        <v>7.5191135921443033</v>
      </c>
      <c r="T29" s="46">
        <v>11.498622561133386</v>
      </c>
      <c r="U29" s="46">
        <v>12.432983003135234</v>
      </c>
      <c r="V29" s="46">
        <v>1.1366311383882179</v>
      </c>
      <c r="W29" s="46">
        <v>2.5957976168270522</v>
      </c>
      <c r="X29" s="46">
        <v>8.0134926517577849</v>
      </c>
      <c r="Y29" s="46">
        <v>11.745921406973054</v>
      </c>
      <c r="Z29" s="46">
        <v>12.711594919557371</v>
      </c>
    </row>
    <row r="30" spans="1:26" ht="15" customHeight="1" x14ac:dyDescent="0.25">
      <c r="A30" s="45" t="s">
        <v>43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26" ht="15" customHeight="1" x14ac:dyDescent="0.25">
      <c r="A31" s="47" t="s">
        <v>44</v>
      </c>
    </row>
    <row r="32" spans="1:26" ht="14.25" customHeight="1" x14ac:dyDescent="0.2">
      <c r="A32" s="20" t="s">
        <v>45</v>
      </c>
    </row>
    <row r="33" spans="1:1" x14ac:dyDescent="0.2">
      <c r="A33" s="20" t="s">
        <v>46</v>
      </c>
    </row>
    <row r="34" spans="1:1" x14ac:dyDescent="0.2">
      <c r="A34" s="20" t="s">
        <v>47</v>
      </c>
    </row>
    <row r="35" spans="1:1" x14ac:dyDescent="0.2">
      <c r="A35" s="20" t="s">
        <v>48</v>
      </c>
    </row>
  </sheetData>
  <mergeCells count="10">
    <mergeCell ref="G6:K6"/>
    <mergeCell ref="G7:J7"/>
    <mergeCell ref="B6:F6"/>
    <mergeCell ref="B7:E7"/>
    <mergeCell ref="V6:Z6"/>
    <mergeCell ref="V7:Y7"/>
    <mergeCell ref="Q6:U6"/>
    <mergeCell ref="Q7:T7"/>
    <mergeCell ref="L6:P6"/>
    <mergeCell ref="L7:O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Z35"/>
  <sheetViews>
    <sheetView zoomScale="73" zoomScaleNormal="73" workbookViewId="0">
      <pane ySplit="8" topLeftCell="A9" activePane="bottomLeft" state="frozen"/>
      <selection activeCell="A105" sqref="A105:XFD296"/>
      <selection pane="bottomLeft" activeCell="D28" sqref="D10:D28"/>
    </sheetView>
  </sheetViews>
  <sheetFormatPr defaultColWidth="8.796875" defaultRowHeight="14.25" customHeight="1" x14ac:dyDescent="0.2"/>
  <cols>
    <col min="1" max="1" width="22.296875" style="20" customWidth="1"/>
    <col min="2" max="2" width="12.69921875" style="20" customWidth="1"/>
    <col min="3" max="6" width="11.59765625" style="20" customWidth="1"/>
    <col min="7" max="7" width="12.69921875" style="20" customWidth="1"/>
    <col min="8" max="11" width="10.09765625" style="20" customWidth="1"/>
    <col min="12" max="12" width="12.69921875" style="20" customWidth="1"/>
    <col min="13" max="16" width="8.59765625" style="20" customWidth="1"/>
    <col min="17" max="17" width="12.69921875" style="20" customWidth="1"/>
    <col min="18" max="20" width="9.59765625" style="20" customWidth="1"/>
    <col min="21" max="21" width="11.59765625" style="20" customWidth="1"/>
    <col min="22" max="26" width="12.3984375" style="20" customWidth="1"/>
    <col min="27" max="16384" width="8.796875" style="20"/>
  </cols>
  <sheetData>
    <row r="1" spans="1:26" s="19" customFormat="1" ht="15" customHeight="1" x14ac:dyDescent="0.25">
      <c r="A1" s="19" t="s">
        <v>4</v>
      </c>
    </row>
    <row r="2" spans="1:26" s="19" customFormat="1" ht="15" customHeight="1" x14ac:dyDescent="0.25">
      <c r="A2" s="19" t="s">
        <v>5</v>
      </c>
    </row>
    <row r="3" spans="1:26" s="19" customFormat="1" ht="15" customHeight="1" x14ac:dyDescent="0.25">
      <c r="A3" s="19" t="s">
        <v>2</v>
      </c>
    </row>
    <row r="4" spans="1:26" s="19" customFormat="1" ht="15" customHeight="1" x14ac:dyDescent="0.25">
      <c r="A4" s="25" t="s">
        <v>3</v>
      </c>
    </row>
    <row r="5" spans="1:26" ht="15" customHeight="1" x14ac:dyDescent="0.25">
      <c r="A5" s="19"/>
      <c r="U5" s="37"/>
      <c r="Z5" s="37" t="s">
        <v>49</v>
      </c>
    </row>
    <row r="6" spans="1:26" ht="20.100000000000001" customHeight="1" x14ac:dyDescent="0.2">
      <c r="A6" s="78" t="s">
        <v>16</v>
      </c>
      <c r="B6" s="75">
        <v>2020</v>
      </c>
      <c r="C6" s="75"/>
      <c r="D6" s="75"/>
      <c r="E6" s="75"/>
      <c r="F6" s="76"/>
      <c r="G6" s="75">
        <v>2021</v>
      </c>
      <c r="H6" s="75"/>
      <c r="I6" s="75"/>
      <c r="J6" s="75"/>
      <c r="K6" s="76"/>
      <c r="L6" s="75">
        <v>2022</v>
      </c>
      <c r="M6" s="75"/>
      <c r="N6" s="75"/>
      <c r="O6" s="75"/>
      <c r="P6" s="76"/>
      <c r="Q6" s="75">
        <v>2023</v>
      </c>
      <c r="R6" s="75"/>
      <c r="S6" s="75"/>
      <c r="T6" s="75"/>
      <c r="U6" s="76"/>
      <c r="V6" s="75">
        <v>2024</v>
      </c>
      <c r="W6" s="75"/>
      <c r="X6" s="75"/>
      <c r="Y6" s="75"/>
      <c r="Z6" s="76"/>
    </row>
    <row r="7" spans="1:26" ht="20.100000000000001" customHeight="1" x14ac:dyDescent="0.2">
      <c r="A7" s="78"/>
      <c r="B7" s="75" t="s">
        <v>17</v>
      </c>
      <c r="C7" s="75"/>
      <c r="D7" s="75"/>
      <c r="E7" s="75"/>
      <c r="F7" s="76" t="s">
        <v>18</v>
      </c>
      <c r="G7" s="75" t="s">
        <v>17</v>
      </c>
      <c r="H7" s="75"/>
      <c r="I7" s="75"/>
      <c r="J7" s="75"/>
      <c r="K7" s="76" t="s">
        <v>18</v>
      </c>
      <c r="L7" s="75" t="s">
        <v>17</v>
      </c>
      <c r="M7" s="75"/>
      <c r="N7" s="75"/>
      <c r="O7" s="75"/>
      <c r="P7" s="76" t="s">
        <v>18</v>
      </c>
      <c r="Q7" s="75" t="s">
        <v>17</v>
      </c>
      <c r="R7" s="75"/>
      <c r="S7" s="75"/>
      <c r="T7" s="75"/>
      <c r="U7" s="76" t="s">
        <v>18</v>
      </c>
      <c r="V7" s="75" t="s">
        <v>17</v>
      </c>
      <c r="W7" s="75"/>
      <c r="X7" s="75"/>
      <c r="Y7" s="75"/>
      <c r="Z7" s="76" t="s">
        <v>18</v>
      </c>
    </row>
    <row r="8" spans="1:26" ht="20.100000000000001" customHeight="1" x14ac:dyDescent="0.2">
      <c r="A8" s="78"/>
      <c r="B8" s="28" t="s">
        <v>19</v>
      </c>
      <c r="C8" s="28" t="s">
        <v>20</v>
      </c>
      <c r="D8" s="28" t="s">
        <v>21</v>
      </c>
      <c r="E8" s="28" t="s">
        <v>22</v>
      </c>
      <c r="F8" s="76"/>
      <c r="G8" s="28" t="s">
        <v>19</v>
      </c>
      <c r="H8" s="28" t="s">
        <v>20</v>
      </c>
      <c r="I8" s="28" t="s">
        <v>21</v>
      </c>
      <c r="J8" s="28" t="s">
        <v>22</v>
      </c>
      <c r="K8" s="76"/>
      <c r="L8" s="28" t="s">
        <v>19</v>
      </c>
      <c r="M8" s="28" t="s">
        <v>20</v>
      </c>
      <c r="N8" s="28" t="s">
        <v>21</v>
      </c>
      <c r="O8" s="28" t="s">
        <v>22</v>
      </c>
      <c r="P8" s="76"/>
      <c r="Q8" s="28" t="s">
        <v>19</v>
      </c>
      <c r="R8" s="28" t="s">
        <v>20</v>
      </c>
      <c r="S8" s="28" t="s">
        <v>21</v>
      </c>
      <c r="T8" s="28" t="s">
        <v>22</v>
      </c>
      <c r="U8" s="76"/>
      <c r="V8" s="28" t="s">
        <v>19</v>
      </c>
      <c r="W8" s="28" t="s">
        <v>20</v>
      </c>
      <c r="X8" s="28" t="s">
        <v>21</v>
      </c>
      <c r="Y8" s="28" t="s">
        <v>22</v>
      </c>
      <c r="Z8" s="76"/>
    </row>
    <row r="9" spans="1:26" ht="20.100000000000001" customHeight="1" x14ac:dyDescent="0.2">
      <c r="A9" s="29" t="s">
        <v>2</v>
      </c>
      <c r="B9" s="35">
        <v>100.00000000000001</v>
      </c>
      <c r="C9" s="35">
        <v>99.999999999999986</v>
      </c>
      <c r="D9" s="35">
        <v>99.999999999999986</v>
      </c>
      <c r="E9" s="35">
        <v>100.00000000000003</v>
      </c>
      <c r="F9" s="35">
        <v>99.999999999999957</v>
      </c>
      <c r="G9" s="35">
        <v>99.999999999999986</v>
      </c>
      <c r="H9" s="35">
        <v>99.999999999999986</v>
      </c>
      <c r="I9" s="35">
        <v>99.999999999999972</v>
      </c>
      <c r="J9" s="35">
        <v>100</v>
      </c>
      <c r="K9" s="35">
        <v>99.999999999999986</v>
      </c>
      <c r="L9" s="35">
        <v>99.999999999999986</v>
      </c>
      <c r="M9" s="35">
        <v>100</v>
      </c>
      <c r="N9" s="35">
        <v>99.999999999999986</v>
      </c>
      <c r="O9" s="35">
        <v>99.999999999999972</v>
      </c>
      <c r="P9" s="35">
        <v>100</v>
      </c>
      <c r="Q9" s="35">
        <v>100</v>
      </c>
      <c r="R9" s="35">
        <v>100.00000000000001</v>
      </c>
      <c r="S9" s="35">
        <v>100</v>
      </c>
      <c r="T9" s="35">
        <v>99.999999999999972</v>
      </c>
      <c r="U9" s="35">
        <v>100.00000000000003</v>
      </c>
      <c r="V9" s="35">
        <v>100.00000000000001</v>
      </c>
      <c r="W9" s="35">
        <v>99.999999999999986</v>
      </c>
      <c r="X9" s="35">
        <v>99.999999999999972</v>
      </c>
      <c r="Y9" s="35">
        <v>100</v>
      </c>
      <c r="Z9" s="35">
        <v>100</v>
      </c>
    </row>
    <row r="10" spans="1:26" ht="20.100000000000001" customHeight="1" x14ac:dyDescent="0.2">
      <c r="A10" s="2" t="s">
        <v>23</v>
      </c>
      <c r="B10" s="8">
        <v>4.5978998266569109</v>
      </c>
      <c r="C10" s="8">
        <v>34.223160118447495</v>
      </c>
      <c r="D10" s="8">
        <v>57.003698731340613</v>
      </c>
      <c r="E10" s="8">
        <v>51.135794722050612</v>
      </c>
      <c r="F10" s="8">
        <v>52.012022253331615</v>
      </c>
      <c r="G10" s="8">
        <v>4.2885457133315414</v>
      </c>
      <c r="H10" s="8">
        <v>32.482067861483813</v>
      </c>
      <c r="I10" s="8">
        <v>56.192779116299171</v>
      </c>
      <c r="J10" s="8">
        <v>49.654785119672134</v>
      </c>
      <c r="K10" s="8">
        <v>51.111394039829463</v>
      </c>
      <c r="L10" s="8">
        <v>3.8736902127176509</v>
      </c>
      <c r="M10" s="8">
        <v>30.760518938256766</v>
      </c>
      <c r="N10" s="8">
        <v>56.249930222052591</v>
      </c>
      <c r="O10" s="8">
        <v>49.192204842851581</v>
      </c>
      <c r="P10" s="8">
        <v>50.568402800774983</v>
      </c>
      <c r="Q10" s="8">
        <v>2.8753108220334349</v>
      </c>
      <c r="R10" s="8">
        <v>32.63539135361053</v>
      </c>
      <c r="S10" s="8">
        <v>56.906187596215176</v>
      </c>
      <c r="T10" s="8">
        <v>50.704681470848776</v>
      </c>
      <c r="U10" s="8">
        <v>51.862112176524747</v>
      </c>
      <c r="V10" s="8">
        <v>2.6190803334734567</v>
      </c>
      <c r="W10" s="8">
        <v>33.42833274522026</v>
      </c>
      <c r="X10" s="8">
        <v>57.402862996405467</v>
      </c>
      <c r="Y10" s="8">
        <v>51.431725827910789</v>
      </c>
      <c r="Z10" s="8">
        <v>52.486558846653097</v>
      </c>
    </row>
    <row r="11" spans="1:26" ht="20.100000000000001" customHeight="1" x14ac:dyDescent="0.2">
      <c r="A11" s="1" t="s">
        <v>24</v>
      </c>
      <c r="B11" s="4">
        <v>0.13943414155347</v>
      </c>
      <c r="C11" s="4">
        <v>13.778637187424298</v>
      </c>
      <c r="D11" s="4">
        <v>36.372518984009275</v>
      </c>
      <c r="E11" s="4">
        <v>30.899551735031839</v>
      </c>
      <c r="F11" s="4">
        <v>31.41390833176948</v>
      </c>
      <c r="G11" s="4">
        <v>0.1334132047312129</v>
      </c>
      <c r="H11" s="4">
        <v>12.061500267323382</v>
      </c>
      <c r="I11" s="4">
        <v>35.56860893601938</v>
      </c>
      <c r="J11" s="4">
        <v>29.41625499372557</v>
      </c>
      <c r="K11" s="4">
        <v>30.480015898766233</v>
      </c>
      <c r="L11" s="4">
        <v>0.11394010736779922</v>
      </c>
      <c r="M11" s="4">
        <v>10.914996768267711</v>
      </c>
      <c r="N11" s="4">
        <v>35.538726864157148</v>
      </c>
      <c r="O11" s="4">
        <v>28.965012270743816</v>
      </c>
      <c r="P11" s="4">
        <v>29.9372122850191</v>
      </c>
      <c r="Q11" s="4">
        <v>9.5338810455986633E-2</v>
      </c>
      <c r="R11" s="4">
        <v>12.199505608246037</v>
      </c>
      <c r="S11" s="4">
        <v>36.681584983675044</v>
      </c>
      <c r="T11" s="4">
        <v>30.696164753202353</v>
      </c>
      <c r="U11" s="4">
        <v>31.516101114341698</v>
      </c>
      <c r="V11" s="4">
        <v>8.9251758452665045E-2</v>
      </c>
      <c r="W11" s="4">
        <v>12.604460406010082</v>
      </c>
      <c r="X11" s="4">
        <v>37.265264447669153</v>
      </c>
      <c r="Y11" s="4">
        <v>31.413729687303597</v>
      </c>
      <c r="Z11" s="4">
        <v>32.099524270243421</v>
      </c>
    </row>
    <row r="12" spans="1:26" ht="20.100000000000001" customHeight="1" x14ac:dyDescent="0.2">
      <c r="A12" s="2" t="s">
        <v>25</v>
      </c>
      <c r="B12" s="8">
        <v>3.660678103177821E-2</v>
      </c>
      <c r="C12" s="8">
        <v>7.1204146541413031</v>
      </c>
      <c r="D12" s="8">
        <v>5.0028872895993164</v>
      </c>
      <c r="E12" s="8">
        <v>5.3315870554923794</v>
      </c>
      <c r="F12" s="8">
        <v>5.3499712977985263</v>
      </c>
      <c r="G12" s="8">
        <v>3.5451222097375688E-2</v>
      </c>
      <c r="H12" s="8">
        <v>7.4289547909031501</v>
      </c>
      <c r="I12" s="8">
        <v>5.1029711236761433</v>
      </c>
      <c r="J12" s="8">
        <v>5.5354267601507567</v>
      </c>
      <c r="K12" s="8">
        <v>5.5364025005501727</v>
      </c>
      <c r="L12" s="8">
        <v>2.9487947270290374E-2</v>
      </c>
      <c r="M12" s="8">
        <v>7.5108058012516743</v>
      </c>
      <c r="N12" s="8">
        <v>4.9384005123034678</v>
      </c>
      <c r="O12" s="8">
        <v>5.4865115054325546</v>
      </c>
      <c r="P12" s="8">
        <v>5.4650272128695301</v>
      </c>
      <c r="Q12" s="8">
        <v>7.2175897260730575E-3</v>
      </c>
      <c r="R12" s="8">
        <v>7.5576239382055252</v>
      </c>
      <c r="S12" s="8">
        <v>4.8413844658788072</v>
      </c>
      <c r="T12" s="8">
        <v>5.3713866281950828</v>
      </c>
      <c r="U12" s="8">
        <v>5.3601889349940448</v>
      </c>
      <c r="V12" s="8">
        <v>6.6642305284905865E-3</v>
      </c>
      <c r="W12" s="8">
        <v>7.8648285450510489</v>
      </c>
      <c r="X12" s="8">
        <v>4.8226814212753872</v>
      </c>
      <c r="Y12" s="8">
        <v>5.4020781786802647</v>
      </c>
      <c r="Z12" s="8">
        <v>5.4144674966672524</v>
      </c>
    </row>
    <row r="13" spans="1:26" ht="20.100000000000001" customHeight="1" x14ac:dyDescent="0.2">
      <c r="A13" s="1" t="s">
        <v>26</v>
      </c>
      <c r="B13" s="4">
        <v>3.8357179845139027</v>
      </c>
      <c r="C13" s="4">
        <v>6.454361112759563</v>
      </c>
      <c r="D13" s="4">
        <v>4.9444234244885115</v>
      </c>
      <c r="E13" s="4">
        <v>5.2324028799496585</v>
      </c>
      <c r="F13" s="4">
        <v>5.2323586702799272</v>
      </c>
      <c r="G13" s="4">
        <v>3.5836702706303027</v>
      </c>
      <c r="H13" s="4">
        <v>6.6776125202134065</v>
      </c>
      <c r="I13" s="4">
        <v>4.9800647992962697</v>
      </c>
      <c r="J13" s="4">
        <v>5.3430164006108098</v>
      </c>
      <c r="K13" s="4">
        <v>5.325187027370081</v>
      </c>
      <c r="L13" s="4">
        <v>3.276077016999563</v>
      </c>
      <c r="M13" s="4">
        <v>6.4759138292361573</v>
      </c>
      <c r="N13" s="4">
        <v>5.110557085857633</v>
      </c>
      <c r="O13" s="4">
        <v>5.4138934648851968</v>
      </c>
      <c r="P13" s="4">
        <v>5.4186835310528609</v>
      </c>
      <c r="Q13" s="4">
        <v>2.42554248636569</v>
      </c>
      <c r="R13" s="4">
        <v>6.7331552984450509</v>
      </c>
      <c r="S13" s="4">
        <v>5.0046897861354429</v>
      </c>
      <c r="T13" s="4">
        <v>5.3494471607443739</v>
      </c>
      <c r="U13" s="4">
        <v>5.3352109861008241</v>
      </c>
      <c r="V13" s="4">
        <v>2.1946456930523497</v>
      </c>
      <c r="W13" s="4">
        <v>6.6688273843789698</v>
      </c>
      <c r="X13" s="4">
        <v>4.8782505930961815</v>
      </c>
      <c r="Y13" s="4">
        <v>5.2215661706996421</v>
      </c>
      <c r="Z13" s="4">
        <v>5.2223618982467572</v>
      </c>
    </row>
    <row r="14" spans="1:26" ht="20.100000000000001" customHeight="1" x14ac:dyDescent="0.2">
      <c r="A14" s="2" t="s">
        <v>27</v>
      </c>
      <c r="B14" s="8">
        <v>0.58614091955776015</v>
      </c>
      <c r="C14" s="8">
        <v>6.8697471641223293</v>
      </c>
      <c r="D14" s="8">
        <v>10.683869033243511</v>
      </c>
      <c r="E14" s="8">
        <v>9.6722530515767318</v>
      </c>
      <c r="F14" s="8">
        <v>10.01578395348368</v>
      </c>
      <c r="G14" s="8">
        <v>0.53601101587265043</v>
      </c>
      <c r="H14" s="8">
        <v>6.3140002830438746</v>
      </c>
      <c r="I14" s="8">
        <v>10.541134257307391</v>
      </c>
      <c r="J14" s="8">
        <v>9.3600869651849941</v>
      </c>
      <c r="K14" s="8">
        <v>9.7697886131429712</v>
      </c>
      <c r="L14" s="8">
        <v>0.45418514107999958</v>
      </c>
      <c r="M14" s="8">
        <v>5.8588025395012222</v>
      </c>
      <c r="N14" s="8">
        <v>10.662245759734345</v>
      </c>
      <c r="O14" s="8">
        <v>9.3267876017900146</v>
      </c>
      <c r="P14" s="8">
        <v>9.7474797718334845</v>
      </c>
      <c r="Q14" s="8">
        <v>0.34721193548568491</v>
      </c>
      <c r="R14" s="8">
        <v>6.1451065087139165</v>
      </c>
      <c r="S14" s="8">
        <v>10.378528360525893</v>
      </c>
      <c r="T14" s="8">
        <v>9.2876829287069675</v>
      </c>
      <c r="U14" s="8">
        <v>9.6506111410881648</v>
      </c>
      <c r="V14" s="8">
        <v>0.32851865143995118</v>
      </c>
      <c r="W14" s="8">
        <v>6.2902164097801636</v>
      </c>
      <c r="X14" s="8">
        <v>10.436666534364745</v>
      </c>
      <c r="Y14" s="8">
        <v>9.3943517912272956</v>
      </c>
      <c r="Z14" s="8">
        <v>9.7502051814956658</v>
      </c>
    </row>
    <row r="15" spans="1:26" ht="20.100000000000001" customHeight="1" x14ac:dyDescent="0.2">
      <c r="A15" s="1" t="s">
        <v>28</v>
      </c>
      <c r="B15" s="4">
        <v>16.971712179627218</v>
      </c>
      <c r="C15" s="4">
        <v>28.853169638379626</v>
      </c>
      <c r="D15" s="4">
        <v>16.18567978841596</v>
      </c>
      <c r="E15" s="4">
        <v>18.823904321903822</v>
      </c>
      <c r="F15" s="4">
        <v>19.279075709863069</v>
      </c>
      <c r="G15" s="4">
        <v>18.664101851516993</v>
      </c>
      <c r="H15" s="4">
        <v>28.836942721691816</v>
      </c>
      <c r="I15" s="4">
        <v>16.535391434220838</v>
      </c>
      <c r="J15" s="4">
        <v>19.417440229394234</v>
      </c>
      <c r="K15" s="4">
        <v>19.695327191783999</v>
      </c>
      <c r="L15" s="4">
        <v>19.993205770122259</v>
      </c>
      <c r="M15" s="4">
        <v>28.675586713773331</v>
      </c>
      <c r="N15" s="4">
        <v>16.388158745354563</v>
      </c>
      <c r="O15" s="4">
        <v>19.441898140463149</v>
      </c>
      <c r="P15" s="4">
        <v>19.711783242363122</v>
      </c>
      <c r="Q15" s="4">
        <v>19.806026533594856</v>
      </c>
      <c r="R15" s="4">
        <v>28.427150315798194</v>
      </c>
      <c r="S15" s="4">
        <v>16.068274817117416</v>
      </c>
      <c r="T15" s="4">
        <v>18.867714193695363</v>
      </c>
      <c r="U15" s="4">
        <v>19.140365227143686</v>
      </c>
      <c r="V15" s="4">
        <v>24.182388730252878</v>
      </c>
      <c r="W15" s="4">
        <v>27.915334984416685</v>
      </c>
      <c r="X15" s="4">
        <v>16.000473347482728</v>
      </c>
      <c r="Y15" s="4">
        <v>18.679473379291451</v>
      </c>
      <c r="Z15" s="4">
        <v>19.031517844185579</v>
      </c>
    </row>
    <row r="16" spans="1:26" ht="20.100000000000001" customHeight="1" x14ac:dyDescent="0.2">
      <c r="A16" s="2" t="s">
        <v>29</v>
      </c>
      <c r="B16" s="8">
        <v>1.2888335329319782</v>
      </c>
      <c r="C16" s="8">
        <v>9.5589464835861371</v>
      </c>
      <c r="D16" s="8">
        <v>4.2272617970522823</v>
      </c>
      <c r="E16" s="8">
        <v>5.2656491401064782</v>
      </c>
      <c r="F16" s="8">
        <v>5.1289046502581375</v>
      </c>
      <c r="G16" s="8">
        <v>1.3563084013439843</v>
      </c>
      <c r="H16" s="8">
        <v>11.804850406301671</v>
      </c>
      <c r="I16" s="8">
        <v>4.4712243417949544</v>
      </c>
      <c r="J16" s="8">
        <v>6.099220679333401</v>
      </c>
      <c r="K16" s="8">
        <v>5.7847540204971324</v>
      </c>
      <c r="L16" s="8">
        <v>1.5765290226718021</v>
      </c>
      <c r="M16" s="8">
        <v>12.963138628327906</v>
      </c>
      <c r="N16" s="8">
        <v>4.4217852601144507</v>
      </c>
      <c r="O16" s="8">
        <v>6.4583626365257416</v>
      </c>
      <c r="P16" s="8">
        <v>5.9068665602896733</v>
      </c>
      <c r="Q16" s="8">
        <v>1.3035816992705589</v>
      </c>
      <c r="R16" s="8">
        <v>11.651938327292049</v>
      </c>
      <c r="S16" s="8">
        <v>4.2962941048120031</v>
      </c>
      <c r="T16" s="8">
        <v>5.8837873023765574</v>
      </c>
      <c r="U16" s="8">
        <v>5.4362872057376794</v>
      </c>
      <c r="V16" s="8">
        <v>1.7623693308911468</v>
      </c>
      <c r="W16" s="8">
        <v>11.061014077183087</v>
      </c>
      <c r="X16" s="8">
        <v>4.1959839632819875</v>
      </c>
      <c r="Y16" s="8">
        <v>5.6312597723127382</v>
      </c>
      <c r="Z16" s="8">
        <v>5.2210682187887549</v>
      </c>
    </row>
    <row r="17" spans="1:26" ht="20.100000000000001" customHeight="1" x14ac:dyDescent="0.2">
      <c r="A17" s="1" t="s">
        <v>30</v>
      </c>
      <c r="B17" s="4">
        <v>9.393838524808352</v>
      </c>
      <c r="C17" s="4">
        <v>6.4401114027777639</v>
      </c>
      <c r="D17" s="4">
        <v>4.1552631917276992</v>
      </c>
      <c r="E17" s="4">
        <v>4.7434151808048401</v>
      </c>
      <c r="F17" s="4">
        <v>4.7488021486774326</v>
      </c>
      <c r="G17" s="4">
        <v>9.3033373488579496</v>
      </c>
      <c r="H17" s="4">
        <v>6.8579417498401947</v>
      </c>
      <c r="I17" s="4">
        <v>4.3166793546306339</v>
      </c>
      <c r="J17" s="4">
        <v>5.0055559615953511</v>
      </c>
      <c r="K17" s="4">
        <v>4.9764843417852571</v>
      </c>
      <c r="L17" s="4">
        <v>8.5883017884421555</v>
      </c>
      <c r="M17" s="4">
        <v>6.9315735598617314</v>
      </c>
      <c r="N17" s="4">
        <v>4.3291560461116623</v>
      </c>
      <c r="O17" s="4">
        <v>5.0322104842979014</v>
      </c>
      <c r="P17" s="4">
        <v>5.0216983228977305</v>
      </c>
      <c r="Q17" s="4">
        <v>10.186137928517846</v>
      </c>
      <c r="R17" s="4">
        <v>6.8116704226143021</v>
      </c>
      <c r="S17" s="4">
        <v>4.3738245575868557</v>
      </c>
      <c r="T17" s="4">
        <v>5.0025339209224802</v>
      </c>
      <c r="U17" s="4">
        <v>5.014547060799754</v>
      </c>
      <c r="V17" s="4">
        <v>9.9589264482267037</v>
      </c>
      <c r="W17" s="4">
        <v>6.9006949921422631</v>
      </c>
      <c r="X17" s="4">
        <v>4.2954647074760786</v>
      </c>
      <c r="Y17" s="4">
        <v>4.9399385867111407</v>
      </c>
      <c r="Z17" s="4">
        <v>4.9674935618623381</v>
      </c>
    </row>
    <row r="18" spans="1:26" ht="20.100000000000001" customHeight="1" x14ac:dyDescent="0.2">
      <c r="A18" s="2" t="s">
        <v>31</v>
      </c>
      <c r="B18" s="8">
        <v>0.35407017579176259</v>
      </c>
      <c r="C18" s="8">
        <v>3.2695209048270035</v>
      </c>
      <c r="D18" s="8">
        <v>3.0128382700861382</v>
      </c>
      <c r="E18" s="8">
        <v>3.0073679592052622</v>
      </c>
      <c r="F18" s="8">
        <v>2.8802486578305255</v>
      </c>
      <c r="G18" s="8">
        <v>0.37986043925415985</v>
      </c>
      <c r="H18" s="8">
        <v>3.4691503643327528</v>
      </c>
      <c r="I18" s="8">
        <v>3.0392547745805834</v>
      </c>
      <c r="J18" s="8">
        <v>3.0837555010853444</v>
      </c>
      <c r="K18" s="8">
        <v>2.9060669672471819</v>
      </c>
      <c r="L18" s="8">
        <v>0.34926796682555528</v>
      </c>
      <c r="M18" s="8">
        <v>4.3553607868950541</v>
      </c>
      <c r="N18" s="8">
        <v>3.0617838115734615</v>
      </c>
      <c r="O18" s="8">
        <v>3.3334818377370139</v>
      </c>
      <c r="P18" s="8">
        <v>3.1074542274513308</v>
      </c>
      <c r="Q18" s="8">
        <v>0.40358623689799572</v>
      </c>
      <c r="R18" s="8">
        <v>3.5131452535108938</v>
      </c>
      <c r="S18" s="8">
        <v>3.014203231090582</v>
      </c>
      <c r="T18" s="8">
        <v>3.0855895066811372</v>
      </c>
      <c r="U18" s="8">
        <v>2.9251280876115597</v>
      </c>
      <c r="V18" s="8">
        <v>0.36707652361410037</v>
      </c>
      <c r="W18" s="8">
        <v>3.5199266853274658</v>
      </c>
      <c r="X18" s="8">
        <v>2.9326106029609762</v>
      </c>
      <c r="Y18" s="8">
        <v>3.0196861441321659</v>
      </c>
      <c r="Z18" s="8">
        <v>2.8661299700311536</v>
      </c>
    </row>
    <row r="19" spans="1:26" ht="20.100000000000001" customHeight="1" x14ac:dyDescent="0.2">
      <c r="A19" s="1" t="s">
        <v>32</v>
      </c>
      <c r="B19" s="4">
        <v>5.1829191214261199</v>
      </c>
      <c r="C19" s="4">
        <v>2.510857698358004</v>
      </c>
      <c r="D19" s="4">
        <v>2.7588405854077869</v>
      </c>
      <c r="E19" s="4">
        <v>2.7609401931276514</v>
      </c>
      <c r="F19" s="4">
        <v>2.6278592294950536</v>
      </c>
      <c r="G19" s="4">
        <v>5.5031969531843927</v>
      </c>
      <c r="H19" s="4">
        <v>2.4570494478587936</v>
      </c>
      <c r="I19" s="4">
        <v>2.7562242364463625</v>
      </c>
      <c r="J19" s="4">
        <v>2.7436849920442126</v>
      </c>
      <c r="K19" s="4">
        <v>2.5837800110912763</v>
      </c>
      <c r="L19" s="4">
        <v>5.6236699165812869</v>
      </c>
      <c r="M19" s="4">
        <v>2.3652188025488692</v>
      </c>
      <c r="N19" s="4">
        <v>2.7625011403127089</v>
      </c>
      <c r="O19" s="4">
        <v>2.7117144932682993</v>
      </c>
      <c r="P19" s="4">
        <v>2.5897192604965058</v>
      </c>
      <c r="Q19" s="4">
        <v>5.2644274393860169</v>
      </c>
      <c r="R19" s="4">
        <v>2.4649304834970276</v>
      </c>
      <c r="S19" s="4">
        <v>2.7117238411417133</v>
      </c>
      <c r="T19" s="4">
        <v>2.6954297170113906</v>
      </c>
      <c r="U19" s="4">
        <v>2.5639072149810289</v>
      </c>
      <c r="V19" s="4">
        <v>5.2221469302866712</v>
      </c>
      <c r="W19" s="4">
        <v>2.519377020284963</v>
      </c>
      <c r="X19" s="4">
        <v>2.7630409215958842</v>
      </c>
      <c r="Y19" s="4">
        <v>2.7480461788879551</v>
      </c>
      <c r="Z19" s="4">
        <v>2.6125142127059817</v>
      </c>
    </row>
    <row r="20" spans="1:26" ht="20.100000000000001" customHeight="1" x14ac:dyDescent="0.2">
      <c r="A20" s="2" t="s">
        <v>33</v>
      </c>
      <c r="B20" s="8">
        <v>9.8576332352912992</v>
      </c>
      <c r="C20" s="8">
        <v>2.4242337196201049</v>
      </c>
      <c r="D20" s="8">
        <v>2.5150733780296384</v>
      </c>
      <c r="E20" s="8">
        <v>2.6580499936503736</v>
      </c>
      <c r="F20" s="8">
        <v>2.4715079882589595</v>
      </c>
      <c r="G20" s="8">
        <v>9.8762707276672987</v>
      </c>
      <c r="H20" s="8">
        <v>2.1391054345682741</v>
      </c>
      <c r="I20" s="8">
        <v>2.5273722943260268</v>
      </c>
      <c r="J20" s="8">
        <v>2.5889097698990433</v>
      </c>
      <c r="K20" s="8">
        <v>2.3829534628389006</v>
      </c>
      <c r="L20" s="8">
        <v>10.240899252370516</v>
      </c>
      <c r="M20" s="8">
        <v>2.028768923539944</v>
      </c>
      <c r="N20" s="8">
        <v>2.5403072442951089</v>
      </c>
      <c r="O20" s="8">
        <v>2.5395904834447447</v>
      </c>
      <c r="P20" s="8">
        <v>2.3918191214568889</v>
      </c>
      <c r="Q20" s="8">
        <v>10.839265991793171</v>
      </c>
      <c r="R20" s="8">
        <v>2.2024312521571257</v>
      </c>
      <c r="S20" s="8">
        <v>2.5279198367610718</v>
      </c>
      <c r="T20" s="8">
        <v>2.5809716004404453</v>
      </c>
      <c r="U20" s="8">
        <v>2.4309801970232581</v>
      </c>
      <c r="V20" s="8">
        <v>10.373250646138363</v>
      </c>
      <c r="W20" s="8">
        <v>2.2305190756315292</v>
      </c>
      <c r="X20" s="8">
        <v>2.5221201337283463</v>
      </c>
      <c r="Y20" s="8">
        <v>2.5785379719575898</v>
      </c>
      <c r="Z20" s="8">
        <v>2.4232970885202816</v>
      </c>
    </row>
    <row r="21" spans="1:26" ht="20.100000000000001" customHeight="1" x14ac:dyDescent="0.2">
      <c r="A21" s="1" t="s">
        <v>34</v>
      </c>
      <c r="B21" s="4">
        <v>4.7473513646976873</v>
      </c>
      <c r="C21" s="4">
        <v>2.8668317252529492</v>
      </c>
      <c r="D21" s="4">
        <v>1.8672716447949551</v>
      </c>
      <c r="E21" s="4">
        <v>2.1375348121067379</v>
      </c>
      <c r="F21" s="4">
        <v>2.0312934293542777</v>
      </c>
      <c r="G21" s="4">
        <v>4.8883593471737248</v>
      </c>
      <c r="H21" s="4">
        <v>2.7041979691814273</v>
      </c>
      <c r="I21" s="4">
        <v>1.8673844595328477</v>
      </c>
      <c r="J21" s="4">
        <v>2.1225805386065293</v>
      </c>
      <c r="K21" s="4">
        <v>1.9939866341055452</v>
      </c>
      <c r="L21" s="4">
        <v>4.8351020904207394</v>
      </c>
      <c r="M21" s="4">
        <v>2.7673997194985671</v>
      </c>
      <c r="N21" s="4">
        <v>1.8759227760838821</v>
      </c>
      <c r="O21" s="4">
        <v>2.1409154126051178</v>
      </c>
      <c r="P21" s="4">
        <v>2.0321565510126769</v>
      </c>
      <c r="Q21" s="4">
        <v>4.248368157566718</v>
      </c>
      <c r="R21" s="4">
        <v>2.7714570142296808</v>
      </c>
      <c r="S21" s="4">
        <v>1.8322791389354509</v>
      </c>
      <c r="T21" s="4">
        <v>2.0771556506005746</v>
      </c>
      <c r="U21" s="4">
        <v>1.9774351696047188</v>
      </c>
      <c r="V21" s="4">
        <v>3.753656781908294</v>
      </c>
      <c r="W21" s="4">
        <v>2.8526841680375203</v>
      </c>
      <c r="X21" s="4">
        <v>1.7723158007316677</v>
      </c>
      <c r="Y21" s="4">
        <v>2.0340099381313115</v>
      </c>
      <c r="Z21" s="4">
        <v>1.9351912682337726</v>
      </c>
    </row>
    <row r="22" spans="1:26" ht="20.100000000000001" customHeight="1" x14ac:dyDescent="0.2">
      <c r="A22" s="2" t="s">
        <v>35</v>
      </c>
      <c r="B22" s="8">
        <v>4.2583322773212924</v>
      </c>
      <c r="C22" s="8">
        <v>2.639577674209022</v>
      </c>
      <c r="D22" s="8">
        <v>1.6946678903640453</v>
      </c>
      <c r="E22" s="8">
        <v>1.9466526321010307</v>
      </c>
      <c r="F22" s="8">
        <v>1.8649831408640252</v>
      </c>
      <c r="G22" s="8">
        <v>4.0047568407135214</v>
      </c>
      <c r="H22" s="8">
        <v>2.4733042094160154</v>
      </c>
      <c r="I22" s="8">
        <v>1.6872659001580705</v>
      </c>
      <c r="J22" s="8">
        <v>1.916280662214483</v>
      </c>
      <c r="K22" s="8">
        <v>1.8220106229936774</v>
      </c>
      <c r="L22" s="8">
        <v>4.3570696274189729</v>
      </c>
      <c r="M22" s="8">
        <v>2.3349801995194674</v>
      </c>
      <c r="N22" s="8">
        <v>1.67399455617284</v>
      </c>
      <c r="O22" s="8">
        <v>1.8783472297781694</v>
      </c>
      <c r="P22" s="8">
        <v>1.80011461569561</v>
      </c>
      <c r="Q22" s="8">
        <v>4.8155238337353827</v>
      </c>
      <c r="R22" s="8">
        <v>2.6026169111010167</v>
      </c>
      <c r="S22" s="8">
        <v>1.6859031490072136</v>
      </c>
      <c r="T22" s="8">
        <v>1.9365502935617069</v>
      </c>
      <c r="U22" s="8">
        <v>1.8573136802777426</v>
      </c>
      <c r="V22" s="8">
        <v>4.6538349328149744</v>
      </c>
      <c r="W22" s="8">
        <v>2.7869335341423267</v>
      </c>
      <c r="X22" s="8">
        <v>1.6600838497090133</v>
      </c>
      <c r="Y22" s="8">
        <v>1.9470841032837689</v>
      </c>
      <c r="Z22" s="8">
        <v>1.8731049760215506</v>
      </c>
    </row>
    <row r="23" spans="1:26" ht="20.100000000000001" customHeight="1" x14ac:dyDescent="0.2">
      <c r="A23" s="1" t="s">
        <v>36</v>
      </c>
      <c r="B23" s="4">
        <v>7.9552957634887553</v>
      </c>
      <c r="C23" s="4">
        <v>1.6264822675859953</v>
      </c>
      <c r="D23" s="4">
        <v>1.5281093546459357</v>
      </c>
      <c r="E23" s="4">
        <v>1.6900665779666348</v>
      </c>
      <c r="F23" s="4">
        <v>1.5783761283532458</v>
      </c>
      <c r="G23" s="4">
        <v>7.5603847652604816</v>
      </c>
      <c r="H23" s="4">
        <v>1.4833454372435371</v>
      </c>
      <c r="I23" s="4">
        <v>1.5525307971151698</v>
      </c>
      <c r="J23" s="4">
        <v>1.6601115368102648</v>
      </c>
      <c r="K23" s="4">
        <v>1.5364803286715629</v>
      </c>
      <c r="L23" s="4">
        <v>6.8562726405842103</v>
      </c>
      <c r="M23" s="4">
        <v>1.6180295553998105</v>
      </c>
      <c r="N23" s="4">
        <v>1.5621459253650227</v>
      </c>
      <c r="O23" s="4">
        <v>1.6610178099903252</v>
      </c>
      <c r="P23" s="4">
        <v>1.5722976681902392</v>
      </c>
      <c r="Q23" s="4">
        <v>6.8532013372919645</v>
      </c>
      <c r="R23" s="4">
        <v>1.7742139026744084</v>
      </c>
      <c r="S23" s="4">
        <v>1.5086258485659001</v>
      </c>
      <c r="T23" s="4">
        <v>1.6481443828103066</v>
      </c>
      <c r="U23" s="4">
        <v>1.5601313121067757</v>
      </c>
      <c r="V23" s="4">
        <v>5.684101897989553</v>
      </c>
      <c r="W23" s="4">
        <v>1.7060782464860462</v>
      </c>
      <c r="X23" s="4">
        <v>1.4680861552611721</v>
      </c>
      <c r="Y23" s="4">
        <v>1.5829965834534978</v>
      </c>
      <c r="Z23" s="4">
        <v>1.4889007430096242</v>
      </c>
    </row>
    <row r="24" spans="1:26" ht="20.100000000000001" customHeight="1" x14ac:dyDescent="0.2">
      <c r="A24" s="2" t="s">
        <v>37</v>
      </c>
      <c r="B24" s="8">
        <v>5.2521370424948861</v>
      </c>
      <c r="C24" s="8">
        <v>1.3562916216965182</v>
      </c>
      <c r="D24" s="8">
        <v>1.1658521288541774</v>
      </c>
      <c r="E24" s="8">
        <v>1.2952831809831979</v>
      </c>
      <c r="F24" s="8">
        <v>1.1880600995958928</v>
      </c>
      <c r="G24" s="8">
        <v>5.6249639833905647</v>
      </c>
      <c r="H24" s="8">
        <v>1.1278091333708506</v>
      </c>
      <c r="I24" s="8">
        <v>1.1600714310672873</v>
      </c>
      <c r="J24" s="8">
        <v>1.2444422923789733</v>
      </c>
      <c r="K24" s="8">
        <v>1.1319139163136362</v>
      </c>
      <c r="L24" s="8">
        <v>5.4358573719097585</v>
      </c>
      <c r="M24" s="8">
        <v>1.0372352589494871</v>
      </c>
      <c r="N24" s="8">
        <v>1.1680884263312517</v>
      </c>
      <c r="O24" s="8">
        <v>1.2049069745908223</v>
      </c>
      <c r="P24" s="8">
        <v>1.1319542782008007</v>
      </c>
      <c r="Q24" s="8">
        <v>5.5319346702329009</v>
      </c>
      <c r="R24" s="8">
        <v>1.0854695965449006</v>
      </c>
      <c r="S24" s="8">
        <v>1.1601112593481953</v>
      </c>
      <c r="T24" s="8">
        <v>1.20945030696726</v>
      </c>
      <c r="U24" s="8">
        <v>1.1391085161364887</v>
      </c>
      <c r="V24" s="8">
        <v>4.3393298887311511</v>
      </c>
      <c r="W24" s="8">
        <v>1.1070352558163676</v>
      </c>
      <c r="X24" s="8">
        <v>1.1292653690947458</v>
      </c>
      <c r="Y24" s="8">
        <v>1.173132647654352</v>
      </c>
      <c r="Z24" s="8">
        <v>1.0955039584038075</v>
      </c>
    </row>
    <row r="25" spans="1:26" ht="20.100000000000001" customHeight="1" x14ac:dyDescent="0.2">
      <c r="A25" s="1" t="s">
        <v>38</v>
      </c>
      <c r="B25" s="4">
        <v>5.8729075178637613</v>
      </c>
      <c r="C25" s="4">
        <v>1.1595191023436073</v>
      </c>
      <c r="D25" s="4">
        <v>1.147663403019558</v>
      </c>
      <c r="E25" s="4">
        <v>1.2542229822592035</v>
      </c>
      <c r="F25" s="4">
        <v>1.1581671784652663</v>
      </c>
      <c r="G25" s="4">
        <v>5.8857355229863799</v>
      </c>
      <c r="H25" s="4">
        <v>1.0260523794840515</v>
      </c>
      <c r="I25" s="4">
        <v>1.1332966377798523</v>
      </c>
      <c r="J25" s="4">
        <v>1.2062802986138228</v>
      </c>
      <c r="K25" s="4">
        <v>1.097762441030127</v>
      </c>
      <c r="L25" s="4">
        <v>5.8909650293326044</v>
      </c>
      <c r="M25" s="4">
        <v>1.0097833464253241</v>
      </c>
      <c r="N25" s="4">
        <v>1.1438138895834689</v>
      </c>
      <c r="O25" s="4">
        <v>1.1875769248578549</v>
      </c>
      <c r="P25" s="4">
        <v>1.1121357717957157</v>
      </c>
      <c r="Q25" s="4">
        <v>5.9636190479707532</v>
      </c>
      <c r="R25" s="4">
        <v>1.0248810864781155</v>
      </c>
      <c r="S25" s="4">
        <v>1.1279366210386417</v>
      </c>
      <c r="T25" s="4">
        <v>1.1779618745499825</v>
      </c>
      <c r="U25" s="4">
        <v>1.106425256816389</v>
      </c>
      <c r="V25" s="4">
        <v>5.4972611547719428</v>
      </c>
      <c r="W25" s="4">
        <v>1.0065213825755319</v>
      </c>
      <c r="X25" s="4">
        <v>1.0987498267976046</v>
      </c>
      <c r="Y25" s="4">
        <v>1.1456122238960109</v>
      </c>
      <c r="Z25" s="4">
        <v>1.0712344950637509</v>
      </c>
    </row>
    <row r="26" spans="1:26" ht="20.100000000000001" customHeight="1" x14ac:dyDescent="0.2">
      <c r="A26" s="2" t="s">
        <v>39</v>
      </c>
      <c r="B26" s="8">
        <v>6.4002527561330149</v>
      </c>
      <c r="C26" s="8">
        <v>1.3826031668177716</v>
      </c>
      <c r="D26" s="8">
        <v>1.0729710857130492</v>
      </c>
      <c r="E26" s="8">
        <v>1.2544047673654066</v>
      </c>
      <c r="F26" s="8">
        <v>1.1684917706763007</v>
      </c>
      <c r="G26" s="8">
        <v>6.6887673621917845</v>
      </c>
      <c r="H26" s="8">
        <v>1.3676303058129791</v>
      </c>
      <c r="I26" s="8">
        <v>1.0755166583712041</v>
      </c>
      <c r="J26" s="8">
        <v>1.2583435988470244</v>
      </c>
      <c r="K26" s="8">
        <v>1.1536450438478614</v>
      </c>
      <c r="L26" s="8">
        <v>7.2568782084480903</v>
      </c>
      <c r="M26" s="8">
        <v>1.3483080721412597</v>
      </c>
      <c r="N26" s="8">
        <v>1.0701368150575479</v>
      </c>
      <c r="O26" s="8">
        <v>1.2375758063129485</v>
      </c>
      <c r="P26" s="8">
        <v>1.1761713212242313</v>
      </c>
      <c r="Q26" s="8">
        <v>7.6199246462254591</v>
      </c>
      <c r="R26" s="8">
        <v>1.3570436559914869</v>
      </c>
      <c r="S26" s="8">
        <v>1.0480416927768794</v>
      </c>
      <c r="T26" s="8">
        <v>1.2156979588088181</v>
      </c>
      <c r="U26" s="8">
        <v>1.1656409496038271</v>
      </c>
      <c r="V26" s="8">
        <v>8.3263456491684895</v>
      </c>
      <c r="W26" s="8">
        <v>1.2829413763768698</v>
      </c>
      <c r="X26" s="8">
        <v>1.0425433335790202</v>
      </c>
      <c r="Y26" s="8">
        <v>1.2044484386818779</v>
      </c>
      <c r="Z26" s="8">
        <v>1.1544533153022039</v>
      </c>
    </row>
    <row r="27" spans="1:26" ht="20.100000000000001" customHeight="1" x14ac:dyDescent="0.2">
      <c r="A27" s="1" t="s">
        <v>40</v>
      </c>
      <c r="B27" s="4">
        <v>11.654985558874092</v>
      </c>
      <c r="C27" s="4">
        <v>0.45094658034972807</v>
      </c>
      <c r="D27" s="4">
        <v>0.60189783586180901</v>
      </c>
      <c r="E27" s="4">
        <v>0.81418774002338778</v>
      </c>
      <c r="F27" s="4">
        <v>0.73644872301106856</v>
      </c>
      <c r="G27" s="4">
        <v>10.063866241480406</v>
      </c>
      <c r="H27" s="4">
        <v>0.40627147437339078</v>
      </c>
      <c r="I27" s="4">
        <v>0.59602090783096762</v>
      </c>
      <c r="J27" s="4">
        <v>0.74693463018034967</v>
      </c>
      <c r="K27" s="4">
        <v>0.67205575647921412</v>
      </c>
      <c r="L27" s="4">
        <v>9.09324946272835</v>
      </c>
      <c r="M27" s="4">
        <v>0.37180116252890766</v>
      </c>
      <c r="N27" s="4">
        <v>0.63576698034206092</v>
      </c>
      <c r="O27" s="4">
        <v>0.70759634389862924</v>
      </c>
      <c r="P27" s="4">
        <v>0.68826988837011394</v>
      </c>
      <c r="Q27" s="4">
        <v>8.6013196567106078</v>
      </c>
      <c r="R27" s="4">
        <v>0.37911374820129495</v>
      </c>
      <c r="S27" s="4">
        <v>0.6225583158330309</v>
      </c>
      <c r="T27" s="4">
        <v>0.68880623822248721</v>
      </c>
      <c r="U27" s="4">
        <v>0.66972771110162888</v>
      </c>
      <c r="V27" s="4">
        <v>8.062945974047059</v>
      </c>
      <c r="W27" s="4">
        <v>0.39298610786155341</v>
      </c>
      <c r="X27" s="4">
        <v>0.60527751747031466</v>
      </c>
      <c r="Y27" s="4">
        <v>0.67274144778773204</v>
      </c>
      <c r="Z27" s="4">
        <v>0.64088147165202036</v>
      </c>
    </row>
    <row r="28" spans="1:26" ht="20.100000000000001" customHeight="1" x14ac:dyDescent="0.2">
      <c r="A28" s="2" t="s">
        <v>41</v>
      </c>
      <c r="B28" s="8">
        <v>3.2947164888155744</v>
      </c>
      <c r="C28" s="8">
        <v>0.82917471316635794</v>
      </c>
      <c r="D28" s="8">
        <v>0.71601468794239043</v>
      </c>
      <c r="E28" s="8">
        <v>0.79624151152922296</v>
      </c>
      <c r="F28" s="8">
        <v>0.74620704859708675</v>
      </c>
      <c r="G28" s="8">
        <v>3.1513097623497068</v>
      </c>
      <c r="H28" s="8">
        <v>0.85654522426442115</v>
      </c>
      <c r="I28" s="8">
        <v>0.73909855720279283</v>
      </c>
      <c r="J28" s="8">
        <v>0.81580034828375947</v>
      </c>
      <c r="K28" s="8">
        <v>0.75716966812178199</v>
      </c>
      <c r="L28" s="8">
        <v>3.1454301533161031</v>
      </c>
      <c r="M28" s="8">
        <v>0.82675776954228375</v>
      </c>
      <c r="N28" s="8">
        <v>0.7608224390591446</v>
      </c>
      <c r="O28" s="8">
        <v>0.81529511889235928</v>
      </c>
      <c r="P28" s="8">
        <v>0.77333498154777192</v>
      </c>
      <c r="Q28" s="8">
        <v>3.0429693923303547</v>
      </c>
      <c r="R28" s="8">
        <v>0.82593789576235499</v>
      </c>
      <c r="S28" s="8">
        <v>0.75760617270822406</v>
      </c>
      <c r="T28" s="8">
        <v>0.80722486935233662</v>
      </c>
      <c r="U28" s="8">
        <v>0.76660048500180633</v>
      </c>
      <c r="V28" s="8">
        <v>2.6335793788301576</v>
      </c>
      <c r="W28" s="8">
        <v>0.87596367369311046</v>
      </c>
      <c r="X28" s="8">
        <v>0.75567123066619579</v>
      </c>
      <c r="Y28" s="8">
        <v>0.80991830207930127</v>
      </c>
      <c r="Z28" s="8">
        <v>0.76697356001521777</v>
      </c>
    </row>
    <row r="29" spans="1:26" ht="20.100000000000001" customHeight="1" x14ac:dyDescent="0.2">
      <c r="A29" s="1" t="s">
        <v>42</v>
      </c>
      <c r="B29" s="4">
        <v>2.9171146337773193</v>
      </c>
      <c r="C29" s="4">
        <v>0.40857318258191078</v>
      </c>
      <c r="D29" s="4">
        <v>0.34689622674395626</v>
      </c>
      <c r="E29" s="4">
        <v>0.41628428481615748</v>
      </c>
      <c r="F29" s="4">
        <v>0.37955184336801451</v>
      </c>
      <c r="G29" s="4">
        <v>2.7602347392971032</v>
      </c>
      <c r="H29" s="4">
        <v>0.50773588077600162</v>
      </c>
      <c r="I29" s="4">
        <v>0.34988909864322687</v>
      </c>
      <c r="J29" s="4">
        <v>0.43587384104107191</v>
      </c>
      <c r="K29" s="4">
        <v>0.3942155533633882</v>
      </c>
      <c r="L29" s="4">
        <v>2.8836114861099262</v>
      </c>
      <c r="M29" s="4">
        <v>0.60553856279128226</v>
      </c>
      <c r="N29" s="4">
        <v>0.35568572219023115</v>
      </c>
      <c r="O29" s="4">
        <v>0.45730546048530835</v>
      </c>
      <c r="P29" s="4">
        <v>0.41582138823259868</v>
      </c>
      <c r="Q29" s="4">
        <v>2.644802606442004</v>
      </c>
      <c r="R29" s="4">
        <v>0.47260878053662958</v>
      </c>
      <c r="S29" s="4">
        <v>0.35850981706164592</v>
      </c>
      <c r="T29" s="4">
        <v>0.41830071315037898</v>
      </c>
      <c r="U29" s="4">
        <v>0.38428974952893075</v>
      </c>
      <c r="V29" s="4">
        <v>2.5637053988550798</v>
      </c>
      <c r="W29" s="4">
        <v>0.41365667480440127</v>
      </c>
      <c r="X29" s="4">
        <v>0.35545024375877654</v>
      </c>
      <c r="Y29" s="4">
        <v>0.40138845382832294</v>
      </c>
      <c r="Z29" s="4">
        <v>0.36517646955085176</v>
      </c>
    </row>
    <row r="30" spans="1:26" ht="15" x14ac:dyDescent="0.25">
      <c r="A30" s="45" t="s">
        <v>43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 spans="1:26" ht="15" x14ac:dyDescent="0.25">
      <c r="A31" s="20" t="s">
        <v>50</v>
      </c>
    </row>
    <row r="32" spans="1:26" ht="14.25" customHeight="1" x14ac:dyDescent="0.2">
      <c r="A32" s="20" t="s">
        <v>45</v>
      </c>
    </row>
    <row r="33" spans="1:1" ht="14.25" customHeight="1" x14ac:dyDescent="0.2">
      <c r="A33" s="20" t="s">
        <v>46</v>
      </c>
    </row>
    <row r="34" spans="1:1" ht="14.25" customHeight="1" x14ac:dyDescent="0.2">
      <c r="A34" s="20" t="s">
        <v>47</v>
      </c>
    </row>
    <row r="35" spans="1:1" ht="14.25" customHeight="1" x14ac:dyDescent="0.2">
      <c r="A35" s="20" t="s">
        <v>48</v>
      </c>
    </row>
  </sheetData>
  <mergeCells count="16">
    <mergeCell ref="A6:A8"/>
    <mergeCell ref="B6:F6"/>
    <mergeCell ref="B7:E7"/>
    <mergeCell ref="F7:F8"/>
    <mergeCell ref="L6:P6"/>
    <mergeCell ref="L7:O7"/>
    <mergeCell ref="P7:P8"/>
    <mergeCell ref="G6:K6"/>
    <mergeCell ref="G7:J7"/>
    <mergeCell ref="K7:K8"/>
    <mergeCell ref="V6:Z6"/>
    <mergeCell ref="V7:Y7"/>
    <mergeCell ref="Z7:Z8"/>
    <mergeCell ref="Q6:U6"/>
    <mergeCell ref="Q7:T7"/>
    <mergeCell ref="U7:U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Plan122"/>
  <dimension ref="A1:K34"/>
  <sheetViews>
    <sheetView workbookViewId="0">
      <pane ySplit="8" topLeftCell="A9" activePane="bottomLeft" state="frozen"/>
      <selection activeCell="A105" sqref="A105:XFD296"/>
      <selection pane="bottomLeft" activeCell="A105" sqref="A105:XFD296"/>
    </sheetView>
  </sheetViews>
  <sheetFormatPr defaultColWidth="8.796875" defaultRowHeight="14.25" x14ac:dyDescent="0.2"/>
  <cols>
    <col min="1" max="1" width="9" style="20" customWidth="1"/>
    <col min="2" max="11" width="14.09765625" style="20" customWidth="1"/>
    <col min="12" max="16384" width="8.796875" style="20"/>
  </cols>
  <sheetData>
    <row r="1" spans="1:11" s="19" customFormat="1" ht="20.100000000000001" customHeight="1" x14ac:dyDescent="0.25">
      <c r="A1" s="80" t="s">
        <v>176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s="19" customFormat="1" ht="20.100000000000001" customHeight="1" x14ac:dyDescent="0.25">
      <c r="A2" s="80" t="s">
        <v>6</v>
      </c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1" s="19" customFormat="1" ht="20.100000000000001" customHeight="1" x14ac:dyDescent="0.25">
      <c r="A3" s="80" t="s">
        <v>13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 s="19" customFormat="1" ht="20.100000000000001" customHeight="1" x14ac:dyDescent="0.25">
      <c r="A4" s="80" t="s">
        <v>7</v>
      </c>
      <c r="B4" s="80"/>
      <c r="C4" s="80"/>
      <c r="D4" s="80"/>
      <c r="E4" s="80"/>
      <c r="F4" s="80"/>
      <c r="G4" s="80"/>
      <c r="H4" s="80"/>
      <c r="I4" s="80"/>
      <c r="J4" s="80"/>
      <c r="K4" s="80"/>
    </row>
    <row r="5" spans="1:11" ht="20.100000000000001" customHeight="1" x14ac:dyDescent="0.25">
      <c r="A5" s="25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20.100000000000001" customHeight="1" x14ac:dyDescent="0.2">
      <c r="A6" s="81" t="s">
        <v>51</v>
      </c>
      <c r="B6" s="82" t="s">
        <v>52</v>
      </c>
      <c r="C6" s="82"/>
      <c r="D6" s="82"/>
      <c r="E6" s="82"/>
      <c r="F6" s="82"/>
      <c r="G6" s="79" t="s">
        <v>53</v>
      </c>
      <c r="H6" s="82" t="s">
        <v>169</v>
      </c>
      <c r="I6" s="82"/>
      <c r="J6" s="82"/>
      <c r="K6" s="82"/>
    </row>
    <row r="7" spans="1:11" ht="33.6" customHeight="1" x14ac:dyDescent="0.2">
      <c r="A7" s="81"/>
      <c r="B7" s="16" t="s">
        <v>54</v>
      </c>
      <c r="C7" s="16" t="s">
        <v>55</v>
      </c>
      <c r="D7" s="79" t="s">
        <v>56</v>
      </c>
      <c r="E7" s="16" t="s">
        <v>57</v>
      </c>
      <c r="F7" s="16" t="s">
        <v>58</v>
      </c>
      <c r="G7" s="79"/>
      <c r="H7" s="16" t="s">
        <v>59</v>
      </c>
      <c r="I7" s="16" t="s">
        <v>55</v>
      </c>
      <c r="J7" s="79" t="s">
        <v>56</v>
      </c>
      <c r="K7" s="83" t="s">
        <v>60</v>
      </c>
    </row>
    <row r="8" spans="1:11" ht="20.100000000000001" customHeight="1" x14ac:dyDescent="0.2">
      <c r="A8" s="81"/>
      <c r="B8" s="79" t="s">
        <v>61</v>
      </c>
      <c r="C8" s="79"/>
      <c r="D8" s="79"/>
      <c r="E8" s="79" t="s">
        <v>62</v>
      </c>
      <c r="F8" s="79"/>
      <c r="G8" s="79"/>
      <c r="H8" s="79" t="s">
        <v>63</v>
      </c>
      <c r="I8" s="79"/>
      <c r="J8" s="79"/>
      <c r="K8" s="83"/>
    </row>
    <row r="9" spans="1:11" ht="20.100000000000001" customHeight="1" x14ac:dyDescent="0.2">
      <c r="A9" s="3">
        <v>2002</v>
      </c>
      <c r="B9" s="4">
        <v>29.500923548061191</v>
      </c>
      <c r="C9" s="4"/>
      <c r="D9" s="5"/>
      <c r="E9" s="5">
        <v>66.029996800146193</v>
      </c>
      <c r="F9" s="5">
        <v>65.716205810373808</v>
      </c>
      <c r="G9" s="6">
        <v>2048057</v>
      </c>
      <c r="H9" s="6">
        <v>14404.346923968031</v>
      </c>
      <c r="I9" s="6"/>
      <c r="J9" s="5"/>
      <c r="K9" s="5">
        <v>72.931938325690524</v>
      </c>
    </row>
    <row r="10" spans="1:11" ht="20.100000000000001" customHeight="1" x14ac:dyDescent="0.2">
      <c r="A10" s="7">
        <v>2003</v>
      </c>
      <c r="B10" s="8">
        <v>34.747649616606054</v>
      </c>
      <c r="C10" s="8">
        <v>28.909265385116413</v>
      </c>
      <c r="D10" s="9">
        <v>-2.0055581039043813</v>
      </c>
      <c r="E10" s="9">
        <v>64.705726848313063</v>
      </c>
      <c r="F10" s="9">
        <v>78.987952935229686</v>
      </c>
      <c r="G10" s="10">
        <v>2075817</v>
      </c>
      <c r="H10" s="10">
        <v>16739.264403656998</v>
      </c>
      <c r="I10" s="10">
        <v>13926.692663715738</v>
      </c>
      <c r="J10" s="9">
        <v>-3.3160424611649919</v>
      </c>
      <c r="K10" s="9">
        <v>70.513484283059967</v>
      </c>
    </row>
    <row r="11" spans="1:11" ht="20.100000000000001" customHeight="1" x14ac:dyDescent="0.2">
      <c r="A11" s="3">
        <v>2004</v>
      </c>
      <c r="B11" s="4">
        <v>40.145421752036604</v>
      </c>
      <c r="C11" s="4">
        <v>37.415471871281383</v>
      </c>
      <c r="D11" s="5">
        <v>7.6777056408453115</v>
      </c>
      <c r="E11" s="5">
        <v>69.673642088495953</v>
      </c>
      <c r="F11" s="5">
        <v>84.75116109249845</v>
      </c>
      <c r="G11" s="6">
        <v>2103137</v>
      </c>
      <c r="H11" s="6">
        <v>19088.353137259535</v>
      </c>
      <c r="I11" s="6">
        <v>17790.316023768959</v>
      </c>
      <c r="J11" s="5">
        <v>6.2789594259729853</v>
      </c>
      <c r="K11" s="5">
        <v>74.940997351033147</v>
      </c>
    </row>
    <row r="12" spans="1:11" ht="20.100000000000001" customHeight="1" x14ac:dyDescent="0.2">
      <c r="A12" s="7">
        <v>2005</v>
      </c>
      <c r="B12" s="8">
        <v>42.521119329439792</v>
      </c>
      <c r="C12" s="8">
        <v>40.51512522057358</v>
      </c>
      <c r="D12" s="9">
        <v>0.92091066030017821</v>
      </c>
      <c r="E12" s="9">
        <v>70.3152740859083</v>
      </c>
      <c r="F12" s="9">
        <v>88.947379885987246</v>
      </c>
      <c r="G12" s="10">
        <v>2130609</v>
      </c>
      <c r="H12" s="10">
        <v>19957.260731293161</v>
      </c>
      <c r="I12" s="10">
        <v>19015.748652415143</v>
      </c>
      <c r="J12" s="9">
        <v>-0.38036013019201453</v>
      </c>
      <c r="K12" s="9">
        <v>74.655951675941566</v>
      </c>
    </row>
    <row r="13" spans="1:11" ht="20.100000000000001" customHeight="1" x14ac:dyDescent="0.2">
      <c r="A13" s="3">
        <v>2006</v>
      </c>
      <c r="B13" s="4">
        <v>46.007414031765286</v>
      </c>
      <c r="C13" s="4">
        <v>45.077366919136999</v>
      </c>
      <c r="D13" s="5">
        <v>6.0117128382539242</v>
      </c>
      <c r="E13" s="5">
        <v>74.54242644538428</v>
      </c>
      <c r="F13" s="5">
        <v>90.782563693134023</v>
      </c>
      <c r="G13" s="6">
        <v>2157749</v>
      </c>
      <c r="H13" s="6">
        <v>21321.948953175412</v>
      </c>
      <c r="I13" s="6">
        <v>20890.922400676354</v>
      </c>
      <c r="J13" s="5">
        <v>4.6783057151686291</v>
      </c>
      <c r="K13" s="5">
        <v>78.148585329910674</v>
      </c>
    </row>
    <row r="14" spans="1:11" ht="20.100000000000001" customHeight="1" x14ac:dyDescent="0.2">
      <c r="A14" s="7">
        <v>2007</v>
      </c>
      <c r="B14" s="8">
        <v>52.528227622651755</v>
      </c>
      <c r="C14" s="8">
        <v>51.364824360217092</v>
      </c>
      <c r="D14" s="9">
        <v>11.644667367639583</v>
      </c>
      <c r="E14" s="9">
        <v>83.222644052716689</v>
      </c>
      <c r="F14" s="9">
        <v>92.838771070231118</v>
      </c>
      <c r="G14" s="10">
        <v>2183874</v>
      </c>
      <c r="H14" s="10">
        <v>24052.77393414261</v>
      </c>
      <c r="I14" s="10">
        <v>23520.049398553714</v>
      </c>
      <c r="J14" s="9">
        <v>10.309097213418417</v>
      </c>
      <c r="K14" s="9">
        <v>86.204998962482406</v>
      </c>
    </row>
    <row r="15" spans="1:11" ht="20.100000000000001" customHeight="1" x14ac:dyDescent="0.2">
      <c r="A15" s="3">
        <v>2008</v>
      </c>
      <c r="B15" s="4">
        <v>59.760270489849148</v>
      </c>
      <c r="C15" s="4">
        <v>57.420097191810228</v>
      </c>
      <c r="D15" s="5">
        <v>9.3128395732296809</v>
      </c>
      <c r="E15" s="5">
        <v>90.973035381946161</v>
      </c>
      <c r="F15" s="5">
        <v>96.622443054546224</v>
      </c>
      <c r="G15" s="6">
        <v>2209757</v>
      </c>
      <c r="H15" s="6">
        <v>27043.819971992012</v>
      </c>
      <c r="I15" s="6">
        <v>25984.801583074623</v>
      </c>
      <c r="J15" s="5">
        <v>8.0324525321776807</v>
      </c>
      <c r="K15" s="5">
        <v>93.129374584508071</v>
      </c>
    </row>
    <row r="16" spans="1:11" ht="20.100000000000001" customHeight="1" x14ac:dyDescent="0.2">
      <c r="A16" s="7">
        <v>2009</v>
      </c>
      <c r="B16" s="8">
        <v>62.215157874224751</v>
      </c>
      <c r="C16" s="8">
        <v>59.131086712340142</v>
      </c>
      <c r="D16" s="9">
        <v>-1.0528462678492723</v>
      </c>
      <c r="E16" s="9">
        <v>90.015229174178145</v>
      </c>
      <c r="F16" s="9">
        <v>101.66193254786506</v>
      </c>
      <c r="G16" s="10">
        <v>2235459</v>
      </c>
      <c r="H16" s="10">
        <v>27831.044038036373</v>
      </c>
      <c r="I16" s="10">
        <v>26451.429756636171</v>
      </c>
      <c r="J16" s="9">
        <v>-2.1904827645256919</v>
      </c>
      <c r="K16" s="9">
        <v>91.08939168552385</v>
      </c>
    </row>
    <row r="17" spans="1:11" ht="20.100000000000001" customHeight="1" x14ac:dyDescent="0.2">
      <c r="A17" s="3">
        <v>2010</v>
      </c>
      <c r="B17" s="4">
        <v>67.986370206466447</v>
      </c>
      <c r="C17" s="4">
        <v>69.116257821039753</v>
      </c>
      <c r="D17" s="5">
        <v>11.092312842420782</v>
      </c>
      <c r="E17" s="5">
        <v>100</v>
      </c>
      <c r="F17" s="5">
        <v>100</v>
      </c>
      <c r="G17" s="6">
        <v>2262135</v>
      </c>
      <c r="H17" s="6">
        <v>30054.072903017037</v>
      </c>
      <c r="I17" s="6">
        <v>30553.551322551371</v>
      </c>
      <c r="J17" s="5">
        <v>9.7822678904685656</v>
      </c>
      <c r="K17" s="5">
        <v>100</v>
      </c>
    </row>
    <row r="18" spans="1:11" ht="20.100000000000001" customHeight="1" x14ac:dyDescent="0.2">
      <c r="A18" s="7">
        <v>2011</v>
      </c>
      <c r="B18" s="8">
        <v>72.244493435243768</v>
      </c>
      <c r="C18" s="8">
        <v>69.226912301432449</v>
      </c>
      <c r="D18" s="9">
        <v>1.8246923481848309</v>
      </c>
      <c r="E18" s="9">
        <v>101.82469234818483</v>
      </c>
      <c r="F18" s="9">
        <v>104.35897114791422</v>
      </c>
      <c r="G18" s="10">
        <v>2285809</v>
      </c>
      <c r="H18" s="10">
        <v>31605.656218539596</v>
      </c>
      <c r="I18" s="10">
        <v>30285.519175675854</v>
      </c>
      <c r="J18" s="9">
        <v>0.7700995249651621</v>
      </c>
      <c r="K18" s="9">
        <v>100.77009952496516</v>
      </c>
    </row>
    <row r="19" spans="1:11" ht="20.100000000000001" customHeight="1" x14ac:dyDescent="0.2">
      <c r="A19" s="3">
        <v>2012</v>
      </c>
      <c r="B19" s="4">
        <v>76.989945561439242</v>
      </c>
      <c r="C19" s="4">
        <v>74.779353571625677</v>
      </c>
      <c r="D19" s="5">
        <v>3.5087243551012337</v>
      </c>
      <c r="E19" s="5">
        <v>105.39744012811249</v>
      </c>
      <c r="F19" s="5">
        <v>107.443981844935</v>
      </c>
      <c r="G19" s="6">
        <v>2309772</v>
      </c>
      <c r="H19" s="6">
        <v>33332.270700934656</v>
      </c>
      <c r="I19" s="6">
        <v>32375.210008444847</v>
      </c>
      <c r="J19" s="5">
        <v>2.4348609773646723</v>
      </c>
      <c r="K19" s="5">
        <v>103.22371135515009</v>
      </c>
    </row>
    <row r="20" spans="1:11" ht="20.100000000000001" customHeight="1" x14ac:dyDescent="0.2">
      <c r="A20" s="7">
        <v>2013</v>
      </c>
      <c r="B20" s="8">
        <v>86.603171318176763</v>
      </c>
      <c r="C20" s="8">
        <v>78.392008557171678</v>
      </c>
      <c r="D20" s="9">
        <v>1.821098827266443</v>
      </c>
      <c r="E20" s="9">
        <v>107.3168316742544</v>
      </c>
      <c r="F20" s="9">
        <v>118.69819051820575</v>
      </c>
      <c r="G20" s="10">
        <v>2334029</v>
      </c>
      <c r="H20" s="10">
        <v>37104.582384441994</v>
      </c>
      <c r="I20" s="10">
        <v>33586.561502522753</v>
      </c>
      <c r="J20" s="9">
        <v>0.7628967251275931</v>
      </c>
      <c r="K20" s="9">
        <v>104.01120166863369</v>
      </c>
    </row>
    <row r="21" spans="1:11" ht="20.100000000000001" customHeight="1" x14ac:dyDescent="0.2">
      <c r="A21" s="3">
        <v>2014</v>
      </c>
      <c r="B21" s="4">
        <v>95.839313577200969</v>
      </c>
      <c r="C21" s="4">
        <v>86.722922711573077</v>
      </c>
      <c r="D21" s="5">
        <v>0.13827599102156363</v>
      </c>
      <c r="E21" s="5">
        <v>107.46522508678493</v>
      </c>
      <c r="F21" s="5">
        <v>131.17585001090555</v>
      </c>
      <c r="G21" s="6">
        <v>2358600</v>
      </c>
      <c r="H21" s="6">
        <v>40633.983539896959</v>
      </c>
      <c r="I21" s="6">
        <v>36768.813156776509</v>
      </c>
      <c r="J21" s="5">
        <v>-0.90492657803440402</v>
      </c>
      <c r="K21" s="5">
        <v>103.06997666060126</v>
      </c>
    </row>
    <row r="22" spans="1:11" ht="20.100000000000001" customHeight="1" x14ac:dyDescent="0.2">
      <c r="A22" s="7">
        <v>2015</v>
      </c>
      <c r="B22" s="8">
        <v>97.869234999438589</v>
      </c>
      <c r="C22" s="8">
        <v>94.258015095783833</v>
      </c>
      <c r="D22" s="9">
        <v>-1.6499476283741932</v>
      </c>
      <c r="E22" s="9">
        <v>105.69210515413853</v>
      </c>
      <c r="F22" s="9">
        <v>136.20146868064774</v>
      </c>
      <c r="G22" s="10">
        <v>2383470</v>
      </c>
      <c r="H22" s="10">
        <v>41061.660100374072</v>
      </c>
      <c r="I22" s="10">
        <v>39546.549818451174</v>
      </c>
      <c r="J22" s="9">
        <v>-2.6761681398479564</v>
      </c>
      <c r="K22" s="9">
        <v>100.31165078346152</v>
      </c>
    </row>
    <row r="23" spans="1:11" ht="20.100000000000001" customHeight="1" x14ac:dyDescent="0.2">
      <c r="A23" s="3">
        <v>2016</v>
      </c>
      <c r="B23" s="4">
        <v>104.24343306169393</v>
      </c>
      <c r="C23" s="4">
        <v>93.438164718427444</v>
      </c>
      <c r="D23" s="5">
        <v>-4.5275415517823987</v>
      </c>
      <c r="E23" s="5">
        <v>100.90685117633136</v>
      </c>
      <c r="F23" s="5">
        <v>151.95192163824061</v>
      </c>
      <c r="G23" s="6">
        <v>2404276</v>
      </c>
      <c r="H23" s="6">
        <v>43357.515136238078</v>
      </c>
      <c r="I23" s="6">
        <v>38863.327138160283</v>
      </c>
      <c r="J23" s="5">
        <v>-5.3537362026767177</v>
      </c>
      <c r="K23" s="5">
        <v>94.941229619964687</v>
      </c>
    </row>
    <row r="24" spans="1:11" ht="20.100000000000001" customHeight="1" x14ac:dyDescent="0.2">
      <c r="A24" s="7">
        <v>2017</v>
      </c>
      <c r="B24" s="8">
        <v>109.34104909574926</v>
      </c>
      <c r="C24" s="8">
        <v>106.24501621682933</v>
      </c>
      <c r="D24" s="9">
        <v>1.9201047935084814</v>
      </c>
      <c r="E24" s="9">
        <v>102.84436846274657</v>
      </c>
      <c r="F24" s="9">
        <v>156.37987658764686</v>
      </c>
      <c r="G24" s="10">
        <v>2425293</v>
      </c>
      <c r="H24" s="10">
        <v>45083.645190807569</v>
      </c>
      <c r="I24" s="10">
        <v>43807.084841637414</v>
      </c>
      <c r="J24" s="9">
        <v>1.0368899232040762</v>
      </c>
      <c r="K24" s="9">
        <v>95.925665662860141</v>
      </c>
    </row>
    <row r="25" spans="1:11" ht="20.100000000000001" customHeight="1" x14ac:dyDescent="0.2">
      <c r="A25" s="3">
        <v>2018</v>
      </c>
      <c r="B25" s="4">
        <v>123.98554279249036</v>
      </c>
      <c r="C25" s="4">
        <v>113.76885075721589</v>
      </c>
      <c r="D25" s="5">
        <v>4.0495328132339692</v>
      </c>
      <c r="E25" s="5">
        <v>107.00908491020874</v>
      </c>
      <c r="F25" s="5">
        <v>170.42313209191224</v>
      </c>
      <c r="G25" s="6">
        <v>2446521</v>
      </c>
      <c r="H25" s="6">
        <v>50678.307193149114</v>
      </c>
      <c r="I25" s="6">
        <v>46502.298879599184</v>
      </c>
      <c r="J25" s="5">
        <v>3.1467146961773995</v>
      </c>
      <c r="K25" s="5">
        <v>98.944172681679362</v>
      </c>
    </row>
    <row r="26" spans="1:11" ht="20.100000000000001" customHeight="1" x14ac:dyDescent="0.2">
      <c r="A26" s="7">
        <v>2019</v>
      </c>
      <c r="B26" s="8">
        <v>131.68826971535549</v>
      </c>
      <c r="C26" s="8">
        <v>123.28605107347846</v>
      </c>
      <c r="D26" s="9">
        <v>-0.56417200203947582</v>
      </c>
      <c r="E26" s="9">
        <v>106.40536961350669</v>
      </c>
      <c r="F26" s="9">
        <v>182.03784766599048</v>
      </c>
      <c r="G26" s="10">
        <v>2467967</v>
      </c>
      <c r="H26" s="10">
        <v>53359.007521314299</v>
      </c>
      <c r="I26" s="10">
        <v>49954.497395418359</v>
      </c>
      <c r="J26" s="9">
        <v>-1.4282438341362003</v>
      </c>
      <c r="K26" s="9">
        <v>97.531008636116198</v>
      </c>
    </row>
    <row r="27" spans="1:11" ht="20.100000000000001" customHeight="1" x14ac:dyDescent="0.2">
      <c r="A27" s="3">
        <v>2020</v>
      </c>
      <c r="B27" s="4">
        <v>121.94683620363141</v>
      </c>
      <c r="C27" s="4">
        <v>125.23729243564537</v>
      </c>
      <c r="D27" s="5">
        <v>-4.8986726711907735</v>
      </c>
      <c r="E27" s="5">
        <v>101.19291885157031</v>
      </c>
      <c r="F27" s="5">
        <v>177.25502652169942</v>
      </c>
      <c r="G27" s="6">
        <v>2489629</v>
      </c>
      <c r="H27" s="6">
        <v>48981.931124529561</v>
      </c>
      <c r="I27" s="6">
        <v>50303.596413620413</v>
      </c>
      <c r="J27" s="5">
        <v>-5.7261393148540058</v>
      </c>
      <c r="K27" s="5">
        <v>91.946247206429888</v>
      </c>
    </row>
    <row r="28" spans="1:11" ht="20.100000000000001" customHeight="1" x14ac:dyDescent="0.2">
      <c r="A28" s="7">
        <v>2021</v>
      </c>
      <c r="B28" s="8">
        <v>157.33091870465458</v>
      </c>
      <c r="C28" s="8">
        <v>128.36381719901908</v>
      </c>
      <c r="D28" s="9">
        <v>5.2621135530505736</v>
      </c>
      <c r="E28" s="9">
        <v>106.51780514918626</v>
      </c>
      <c r="F28" s="9">
        <v>217.25511733917176</v>
      </c>
      <c r="G28" s="10">
        <v>2506181</v>
      </c>
      <c r="H28" s="10">
        <v>62777.157238305845</v>
      </c>
      <c r="I28" s="10">
        <v>51218.893287842773</v>
      </c>
      <c r="J28" s="9">
        <v>4.566912965571035</v>
      </c>
      <c r="K28" s="9">
        <v>96.145352291456334</v>
      </c>
    </row>
    <row r="29" spans="1:11" ht="20.100000000000001" customHeight="1" x14ac:dyDescent="0.2">
      <c r="A29" s="3">
        <v>2022</v>
      </c>
      <c r="B29" s="4">
        <v>184.90460516428442</v>
      </c>
      <c r="C29" s="4">
        <v>159.53922932935839</v>
      </c>
      <c r="D29" s="5">
        <v>1.4036088029520277</v>
      </c>
      <c r="E29" s="5">
        <v>108.01289843897152</v>
      </c>
      <c r="F29" s="5">
        <v>251.79682677661955</v>
      </c>
      <c r="G29" s="6">
        <v>2522851</v>
      </c>
      <c r="H29" s="6">
        <v>73291.924558479441</v>
      </c>
      <c r="I29" s="6">
        <v>63237.674095441384</v>
      </c>
      <c r="J29" s="5">
        <v>0.7335739262410268</v>
      </c>
      <c r="K29" s="5">
        <v>96.850649527159035</v>
      </c>
    </row>
    <row r="30" spans="1:11" ht="20.100000000000001" customHeight="1" x14ac:dyDescent="0.2">
      <c r="A30" s="7">
        <v>2023</v>
      </c>
      <c r="B30" s="8">
        <v>175.88100258190661</v>
      </c>
      <c r="C30" s="8">
        <v>181.4738287229448</v>
      </c>
      <c r="D30" s="9">
        <v>-1.8554305006581284</v>
      </c>
      <c r="E30" s="9">
        <v>106.00879417668996</v>
      </c>
      <c r="F30" s="9">
        <v>244.03672227594953</v>
      </c>
      <c r="G30" s="10">
        <v>2539662</v>
      </c>
      <c r="H30" s="10">
        <v>69253.704855963748</v>
      </c>
      <c r="I30" s="10">
        <v>71455.897959234251</v>
      </c>
      <c r="J30" s="9">
        <v>-2.5050871706612465</v>
      </c>
      <c r="K30" s="9">
        <v>94.424456331152086</v>
      </c>
    </row>
    <row r="31" spans="1:11" ht="20.100000000000001" customHeight="1" x14ac:dyDescent="0.2">
      <c r="A31" s="3">
        <v>2024</v>
      </c>
      <c r="B31" s="4">
        <v>181.74255402120221</v>
      </c>
      <c r="C31" s="4">
        <v>175.0229540704733</v>
      </c>
      <c r="D31" s="5">
        <v>-0.48785741429562268</v>
      </c>
      <c r="E31" s="5">
        <v>105.49162241449359</v>
      </c>
      <c r="F31" s="5">
        <v>253.40594561977008</v>
      </c>
      <c r="G31" s="6">
        <v>2554119.2836073642</v>
      </c>
      <c r="H31" s="6">
        <v>71156.642991440196</v>
      </c>
      <c r="I31" s="6">
        <v>68525.755705221382</v>
      </c>
      <c r="J31" s="5">
        <v>-1.0511338740019527</v>
      </c>
      <c r="K31" s="5">
        <v>93.43192888531317</v>
      </c>
    </row>
    <row r="32" spans="1:11" ht="20.100000000000001" customHeight="1" x14ac:dyDescent="0.25">
      <c r="A32" s="44" t="s">
        <v>64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" ht="20.100000000000001" customHeight="1" x14ac:dyDescent="0.2">
      <c r="A33" s="40" t="s">
        <v>65</v>
      </c>
    </row>
    <row r="34" spans="1:1" ht="20.100000000000001" customHeight="1" x14ac:dyDescent="0.2">
      <c r="A34" s="40" t="s">
        <v>50</v>
      </c>
    </row>
  </sheetData>
  <mergeCells count="14">
    <mergeCell ref="B8:C8"/>
    <mergeCell ref="E8:F8"/>
    <mergeCell ref="H8:I8"/>
    <mergeCell ref="A1:K1"/>
    <mergeCell ref="A2:K2"/>
    <mergeCell ref="A3:K3"/>
    <mergeCell ref="A4:K4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Plan123"/>
  <dimension ref="A1:E100"/>
  <sheetViews>
    <sheetView workbookViewId="0">
      <pane ySplit="6" topLeftCell="A83" activePane="bottomLeft" state="frozen"/>
      <selection activeCell="A105" sqref="A105:XFD296"/>
      <selection pane="bottomLeft" activeCell="A6" sqref="A6:B98"/>
    </sheetView>
  </sheetViews>
  <sheetFormatPr defaultColWidth="8.796875" defaultRowHeight="14.25" x14ac:dyDescent="0.2"/>
  <cols>
    <col min="1" max="1" width="11.8984375" style="20" customWidth="1"/>
    <col min="2" max="5" width="21.69921875" style="20" customWidth="1"/>
    <col min="6" max="16384" width="8.796875" style="20"/>
  </cols>
  <sheetData>
    <row r="1" spans="1:5" s="19" customFormat="1" ht="15" x14ac:dyDescent="0.25">
      <c r="A1" s="25" t="s">
        <v>177</v>
      </c>
      <c r="B1" s="25"/>
      <c r="C1" s="25"/>
      <c r="D1" s="25"/>
      <c r="E1" s="25"/>
    </row>
    <row r="2" spans="1:5" s="19" customFormat="1" ht="15" x14ac:dyDescent="0.25">
      <c r="A2" s="25" t="s">
        <v>8</v>
      </c>
      <c r="B2" s="25"/>
      <c r="C2" s="25"/>
      <c r="D2" s="25"/>
      <c r="E2" s="25"/>
    </row>
    <row r="3" spans="1:5" s="19" customFormat="1" ht="15" x14ac:dyDescent="0.25">
      <c r="A3" s="19" t="s">
        <v>13</v>
      </c>
    </row>
    <row r="4" spans="1:5" s="19" customFormat="1" ht="15" x14ac:dyDescent="0.25">
      <c r="A4" s="19" t="s">
        <v>172</v>
      </c>
    </row>
    <row r="5" spans="1:5" x14ac:dyDescent="0.2">
      <c r="A5" s="84" t="s">
        <v>49</v>
      </c>
      <c r="B5" s="84"/>
      <c r="C5" s="84"/>
      <c r="D5" s="84"/>
      <c r="E5" s="84"/>
    </row>
    <row r="6" spans="1:5" ht="78.75" x14ac:dyDescent="0.2">
      <c r="A6" s="30" t="s">
        <v>66</v>
      </c>
      <c r="B6" s="30" t="s">
        <v>67</v>
      </c>
      <c r="C6" s="31" t="s">
        <v>68</v>
      </c>
      <c r="D6" s="31" t="s">
        <v>69</v>
      </c>
      <c r="E6" s="32" t="s">
        <v>70</v>
      </c>
    </row>
    <row r="7" spans="1:5" ht="20.25" customHeight="1" x14ac:dyDescent="0.2">
      <c r="A7" s="7" t="s">
        <v>71</v>
      </c>
      <c r="B7" s="8" t="s">
        <v>72</v>
      </c>
      <c r="C7" s="8" t="s">
        <v>72</v>
      </c>
      <c r="D7" s="8" t="s">
        <v>72</v>
      </c>
      <c r="E7" s="8" t="s">
        <v>72</v>
      </c>
    </row>
    <row r="8" spans="1:5" ht="20.25" customHeight="1" x14ac:dyDescent="0.2">
      <c r="A8" s="3" t="s">
        <v>73</v>
      </c>
      <c r="B8" s="4">
        <v>-0.58953665757380813</v>
      </c>
      <c r="C8" s="4" t="s">
        <v>72</v>
      </c>
      <c r="D8" s="4" t="s">
        <v>72</v>
      </c>
      <c r="E8" s="4" t="s">
        <v>72</v>
      </c>
    </row>
    <row r="9" spans="1:5" ht="20.25" customHeight="1" x14ac:dyDescent="0.2">
      <c r="A9" s="7" t="s">
        <v>74</v>
      </c>
      <c r="B9" s="8">
        <v>-2.4472923934179103</v>
      </c>
      <c r="C9" s="8" t="s">
        <v>72</v>
      </c>
      <c r="D9" s="8" t="s">
        <v>72</v>
      </c>
      <c r="E9" s="8" t="s">
        <v>72</v>
      </c>
    </row>
    <row r="10" spans="1:5" ht="20.25" customHeight="1" x14ac:dyDescent="0.2">
      <c r="A10" s="3" t="s">
        <v>75</v>
      </c>
      <c r="B10" s="4">
        <v>3.8762022774337046</v>
      </c>
      <c r="C10" s="4" t="s">
        <v>72</v>
      </c>
      <c r="D10" s="4" t="s">
        <v>72</v>
      </c>
      <c r="E10" s="4" t="s">
        <v>72</v>
      </c>
    </row>
    <row r="11" spans="1:5" ht="20.25" customHeight="1" x14ac:dyDescent="0.2">
      <c r="A11" s="7" t="s">
        <v>76</v>
      </c>
      <c r="B11" s="8">
        <v>-2.7350912169531227</v>
      </c>
      <c r="C11" s="8">
        <v>-2.0240555948008332</v>
      </c>
      <c r="D11" s="8">
        <v>-2.0240555948008332</v>
      </c>
      <c r="E11" s="8" t="s">
        <v>72</v>
      </c>
    </row>
    <row r="12" spans="1:5" ht="20.25" customHeight="1" x14ac:dyDescent="0.2">
      <c r="A12" s="3" t="s">
        <v>77</v>
      </c>
      <c r="B12" s="4">
        <v>-2.2486795343653165</v>
      </c>
      <c r="C12" s="4">
        <v>-4.144853699865358</v>
      </c>
      <c r="D12" s="4">
        <v>-3.1011760600987204</v>
      </c>
      <c r="E12" s="4" t="s">
        <v>72</v>
      </c>
    </row>
    <row r="13" spans="1:5" ht="20.25" customHeight="1" x14ac:dyDescent="0.2">
      <c r="A13" s="7" t="s">
        <v>78</v>
      </c>
      <c r="B13" s="8">
        <v>-1.4705074948076269</v>
      </c>
      <c r="C13" s="8">
        <v>-2.1928023863256985</v>
      </c>
      <c r="D13" s="8">
        <v>-2.7942677904599478</v>
      </c>
      <c r="E13" s="8" t="s">
        <v>72</v>
      </c>
    </row>
    <row r="14" spans="1:5" ht="20.25" customHeight="1" x14ac:dyDescent="0.2">
      <c r="A14" s="3" t="s">
        <v>79</v>
      </c>
      <c r="B14" s="4">
        <v>7.5731960606275406</v>
      </c>
      <c r="C14" s="4">
        <v>0.1685713362750807</v>
      </c>
      <c r="D14" s="4">
        <v>-2.0055581039043924</v>
      </c>
      <c r="E14" s="4">
        <v>-2.0055581039043924</v>
      </c>
    </row>
    <row r="15" spans="1:5" ht="20.25" customHeight="1" x14ac:dyDescent="0.2">
      <c r="A15" s="7" t="s">
        <v>80</v>
      </c>
      <c r="B15" s="8">
        <v>1.2967862084588777</v>
      </c>
      <c r="C15" s="8">
        <v>5.3859781526668149</v>
      </c>
      <c r="D15" s="8">
        <v>5.3859781526668149</v>
      </c>
      <c r="E15" s="8">
        <v>-0.26110434440357322</v>
      </c>
    </row>
    <row r="16" spans="1:5" ht="20.25" customHeight="1" x14ac:dyDescent="0.2">
      <c r="A16" s="3" t="s">
        <v>81</v>
      </c>
      <c r="B16" s="4">
        <v>0.619262621153438</v>
      </c>
      <c r="C16" s="4">
        <v>8.3231593406349447</v>
      </c>
      <c r="D16" s="4">
        <v>6.8616595997885943</v>
      </c>
      <c r="E16" s="4">
        <v>2.7735230179751102</v>
      </c>
    </row>
    <row r="17" spans="1:5" ht="20.25" customHeight="1" x14ac:dyDescent="0.2">
      <c r="A17" s="7" t="s">
        <v>82</v>
      </c>
      <c r="B17" s="8">
        <v>5.7660356500233378</v>
      </c>
      <c r="C17" s="8">
        <v>15.746594734699482</v>
      </c>
      <c r="D17" s="8">
        <v>9.8821485598579617</v>
      </c>
      <c r="E17" s="8">
        <v>7.2422588979086377</v>
      </c>
    </row>
    <row r="18" spans="1:5" ht="20.25" customHeight="1" x14ac:dyDescent="0.2">
      <c r="A18" s="3" t="s">
        <v>83</v>
      </c>
      <c r="B18" s="4">
        <v>-5.6935165547000395</v>
      </c>
      <c r="C18" s="4">
        <v>1.7807552198073617</v>
      </c>
      <c r="D18" s="4">
        <v>7.6777056408453337</v>
      </c>
      <c r="E18" s="4">
        <v>7.6777056408453337</v>
      </c>
    </row>
    <row r="19" spans="1:5" ht="20.25" customHeight="1" x14ac:dyDescent="0.2">
      <c r="A19" s="7" t="s">
        <v>84</v>
      </c>
      <c r="B19" s="8">
        <v>1.2863260875685345</v>
      </c>
      <c r="C19" s="8">
        <v>0.45422945622120015</v>
      </c>
      <c r="D19" s="8">
        <v>0.45422945622120015</v>
      </c>
      <c r="E19" s="8">
        <v>6.4218794124794476</v>
      </c>
    </row>
    <row r="20" spans="1:5" ht="20.25" customHeight="1" x14ac:dyDescent="0.2">
      <c r="A20" s="3" t="s">
        <v>85</v>
      </c>
      <c r="B20" s="4">
        <v>2.7997442604790423</v>
      </c>
      <c r="C20" s="4">
        <v>4.6246949072218602</v>
      </c>
      <c r="D20" s="4">
        <v>2.578186897930923</v>
      </c>
      <c r="E20" s="4">
        <v>5.5226787715079606</v>
      </c>
    </row>
    <row r="21" spans="1:5" ht="20.25" customHeight="1" x14ac:dyDescent="0.2">
      <c r="A21" s="7" t="s">
        <v>86</v>
      </c>
      <c r="B21" s="8">
        <v>-0.70241204641272592</v>
      </c>
      <c r="C21" s="8">
        <v>-1.876168651569321</v>
      </c>
      <c r="D21" s="8">
        <v>0.9830830925708911</v>
      </c>
      <c r="E21" s="8">
        <v>1.185569801384756</v>
      </c>
    </row>
    <row r="22" spans="1:5" ht="20.25" customHeight="1" x14ac:dyDescent="0.2">
      <c r="A22" s="3" t="s">
        <v>87</v>
      </c>
      <c r="B22" s="4">
        <v>-2.0382065729179666</v>
      </c>
      <c r="C22" s="4">
        <v>0.74135960989836214</v>
      </c>
      <c r="D22" s="4">
        <v>0.92091066030022262</v>
      </c>
      <c r="E22" s="4">
        <v>0.92091066030022262</v>
      </c>
    </row>
    <row r="23" spans="1:5" ht="20.25" customHeight="1" x14ac:dyDescent="0.2">
      <c r="A23" s="7" t="s">
        <v>88</v>
      </c>
      <c r="B23" s="8">
        <v>3.7449382638580442</v>
      </c>
      <c r="C23" s="8">
        <v>4.2585928413946261</v>
      </c>
      <c r="D23" s="8">
        <v>4.2585928413946261</v>
      </c>
      <c r="E23" s="8">
        <v>1.8136270095024942</v>
      </c>
    </row>
    <row r="24" spans="1:5" ht="20.25" customHeight="1" x14ac:dyDescent="0.2">
      <c r="A24" s="3" t="s">
        <v>89</v>
      </c>
      <c r="B24" s="4">
        <v>5.1518683728895232</v>
      </c>
      <c r="C24" s="4">
        <v>5.9646740179373436</v>
      </c>
      <c r="D24" s="4">
        <v>5.1448100115620399</v>
      </c>
      <c r="E24" s="4">
        <v>2.1811098101356841</v>
      </c>
    </row>
    <row r="25" spans="1:5" ht="20.25" customHeight="1" x14ac:dyDescent="0.2">
      <c r="A25" s="7" t="s">
        <v>90</v>
      </c>
      <c r="B25" s="8">
        <v>-2.2826133139592919</v>
      </c>
      <c r="C25" s="8">
        <v>4.4235227023407209</v>
      </c>
      <c r="D25" s="8">
        <v>4.8938305207806954</v>
      </c>
      <c r="E25" s="8">
        <v>3.8335377734229681</v>
      </c>
    </row>
    <row r="26" spans="1:5" ht="20.25" customHeight="1" x14ac:dyDescent="0.2">
      <c r="A26" s="3" t="s">
        <v>91</v>
      </c>
      <c r="B26" s="4">
        <v>3.1227693220413855</v>
      </c>
      <c r="C26" s="4">
        <v>9.2478505685844592</v>
      </c>
      <c r="D26" s="4">
        <v>6.011712838253902</v>
      </c>
      <c r="E26" s="4">
        <v>6.011712838253902</v>
      </c>
    </row>
    <row r="27" spans="1:5" ht="20.25" customHeight="1" x14ac:dyDescent="0.2">
      <c r="A27" s="7" t="s">
        <v>92</v>
      </c>
      <c r="B27" s="8">
        <v>3.9890763670609175</v>
      </c>
      <c r="C27" s="8">
        <v>10.329028846780975</v>
      </c>
      <c r="D27" s="8">
        <v>10.329028846780975</v>
      </c>
      <c r="E27" s="8">
        <v>7.4539768487193347</v>
      </c>
    </row>
    <row r="28" spans="1:5" ht="20.25" customHeight="1" x14ac:dyDescent="0.2">
      <c r="A28" s="3" t="s">
        <v>93</v>
      </c>
      <c r="B28" s="4">
        <v>1.5418731733094937</v>
      </c>
      <c r="C28" s="4">
        <v>6.8857448052116244</v>
      </c>
      <c r="D28" s="4">
        <v>8.5264819011433133</v>
      </c>
      <c r="E28" s="4">
        <v>7.6718812041431272</v>
      </c>
    </row>
    <row r="29" spans="1:5" ht="20.25" customHeight="1" x14ac:dyDescent="0.2">
      <c r="A29" s="7" t="s">
        <v>94</v>
      </c>
      <c r="B29" s="8">
        <v>5.8142258224856747</v>
      </c>
      <c r="C29" s="8">
        <v>14.919597586460998</v>
      </c>
      <c r="D29" s="8">
        <v>10.741059490113036</v>
      </c>
      <c r="E29" s="8">
        <v>10.37113769111655</v>
      </c>
    </row>
    <row r="30" spans="1:5" ht="20.25" customHeight="1" x14ac:dyDescent="0.2">
      <c r="A30" s="3" t="s">
        <v>95</v>
      </c>
      <c r="B30" s="4">
        <v>2.4976900765998344</v>
      </c>
      <c r="C30" s="4">
        <v>14.156252843778905</v>
      </c>
      <c r="D30" s="4">
        <v>11.64466736763956</v>
      </c>
      <c r="E30" s="4">
        <v>11.64466736763956</v>
      </c>
    </row>
    <row r="31" spans="1:5" ht="20.25" customHeight="1" x14ac:dyDescent="0.2">
      <c r="A31" s="7" t="s">
        <v>96</v>
      </c>
      <c r="B31" s="8">
        <v>1.7913596679500543</v>
      </c>
      <c r="C31" s="8">
        <v>11.859710735684526</v>
      </c>
      <c r="D31" s="8">
        <v>11.859710735684526</v>
      </c>
      <c r="E31" s="8">
        <v>11.992121647431976</v>
      </c>
    </row>
    <row r="32" spans="1:5" ht="20.25" customHeight="1" x14ac:dyDescent="0.2">
      <c r="A32" s="3" t="s">
        <v>97</v>
      </c>
      <c r="B32" s="4">
        <v>2.1570859914766816</v>
      </c>
      <c r="C32" s="4">
        <v>13.640733143915295</v>
      </c>
      <c r="D32" s="4">
        <v>12.777973938424525</v>
      </c>
      <c r="E32" s="4">
        <v>13.652383262980173</v>
      </c>
    </row>
    <row r="33" spans="1:5" ht="20.25" customHeight="1" x14ac:dyDescent="0.2">
      <c r="A33" s="7" t="s">
        <v>98</v>
      </c>
      <c r="B33" s="8">
        <v>2.0243969608756851</v>
      </c>
      <c r="C33" s="8">
        <v>8.9328594797263516</v>
      </c>
      <c r="D33" s="8">
        <v>11.395767117181821</v>
      </c>
      <c r="E33" s="8">
        <v>12.072679153044108</v>
      </c>
    </row>
    <row r="34" spans="1:5" ht="20.25" customHeight="1" x14ac:dyDescent="0.2">
      <c r="A34" s="3" t="s">
        <v>99</v>
      </c>
      <c r="B34" s="4">
        <v>-1.9549685225507818</v>
      </c>
      <c r="C34" s="4">
        <v>3.6965293687807765</v>
      </c>
      <c r="D34" s="4">
        <v>9.3128395732296809</v>
      </c>
      <c r="E34" s="4">
        <v>9.3128395732296809</v>
      </c>
    </row>
    <row r="35" spans="1:5" ht="20.25" customHeight="1" x14ac:dyDescent="0.2">
      <c r="A35" s="7" t="s">
        <v>100</v>
      </c>
      <c r="B35" s="8">
        <v>-2.3845740619278688</v>
      </c>
      <c r="C35" s="8">
        <v>7.5137931667601521E-2</v>
      </c>
      <c r="D35" s="8">
        <v>7.5137931667601521E-2</v>
      </c>
      <c r="E35" s="8">
        <v>6.4737523366562133</v>
      </c>
    </row>
    <row r="36" spans="1:5" ht="20.25" customHeight="1" x14ac:dyDescent="0.2">
      <c r="A36" s="3" t="s">
        <v>101</v>
      </c>
      <c r="B36" s="4">
        <v>1.2349840926324074</v>
      </c>
      <c r="C36" s="4">
        <v>-1.3288177518850142</v>
      </c>
      <c r="D36" s="4">
        <v>-0.65425396761580323</v>
      </c>
      <c r="E36" s="4">
        <v>2.828782131720553</v>
      </c>
    </row>
    <row r="37" spans="1:5" ht="20.25" customHeight="1" x14ac:dyDescent="0.2">
      <c r="A37" s="7" t="s">
        <v>102</v>
      </c>
      <c r="B37" s="8">
        <v>0.72260557734733499</v>
      </c>
      <c r="C37" s="8">
        <v>-2.8887421038762073</v>
      </c>
      <c r="D37" s="8">
        <v>-1.4397283552993079</v>
      </c>
      <c r="E37" s="8">
        <v>-0.15682633738902663</v>
      </c>
    </row>
    <row r="38" spans="1:5" ht="20.25" customHeight="1" x14ac:dyDescent="0.2">
      <c r="A38" s="3" t="s">
        <v>103</v>
      </c>
      <c r="B38" s="4">
        <v>0.20740317954532905</v>
      </c>
      <c r="C38" s="4">
        <v>6.7777976200189549E-2</v>
      </c>
      <c r="D38" s="4">
        <v>-1.0528462678492501</v>
      </c>
      <c r="E38" s="4">
        <v>-1.0528462678492501</v>
      </c>
    </row>
    <row r="39" spans="1:5" ht="20.25" customHeight="1" x14ac:dyDescent="0.2">
      <c r="A39" s="7" t="s">
        <v>104</v>
      </c>
      <c r="B39" s="8">
        <v>9.3144041617811091</v>
      </c>
      <c r="C39" s="8">
        <v>11.944190384843001</v>
      </c>
      <c r="D39" s="8">
        <v>11.944190384843001</v>
      </c>
      <c r="E39" s="8">
        <v>1.6979764635079775</v>
      </c>
    </row>
    <row r="40" spans="1:5" ht="20.25" customHeight="1" x14ac:dyDescent="0.2">
      <c r="A40" s="3" t="s">
        <v>105</v>
      </c>
      <c r="B40" s="4">
        <v>2.2537378099898531</v>
      </c>
      <c r="C40" s="4">
        <v>12.998775823360686</v>
      </c>
      <c r="D40" s="4">
        <v>12.488355081698321</v>
      </c>
      <c r="E40" s="4">
        <v>5.259797794973009</v>
      </c>
    </row>
    <row r="41" spans="1:5" ht="20.25" customHeight="1" x14ac:dyDescent="0.2">
      <c r="A41" s="34" t="s">
        <v>106</v>
      </c>
      <c r="B41" s="8">
        <v>-2.6724744220466334</v>
      </c>
      <c r="C41" s="8">
        <v>8.7544919886479278</v>
      </c>
      <c r="D41" s="8">
        <v>11.195112329990774</v>
      </c>
      <c r="E41" s="8">
        <v>8.3085319014449155</v>
      </c>
    </row>
    <row r="42" spans="1:5" ht="20.25" customHeight="1" x14ac:dyDescent="0.2">
      <c r="A42" s="3" t="s">
        <v>107</v>
      </c>
      <c r="B42" s="4">
        <v>1.9163848447147469</v>
      </c>
      <c r="C42" s="4">
        <v>10.799034510970284</v>
      </c>
      <c r="D42" s="4">
        <v>11.092312842420782</v>
      </c>
      <c r="E42" s="4">
        <v>11.092312842420782</v>
      </c>
    </row>
    <row r="43" spans="1:5" ht="20.25" customHeight="1" x14ac:dyDescent="0.2">
      <c r="A43" s="7" t="s">
        <v>108</v>
      </c>
      <c r="B43" s="8">
        <v>2.2745656811337778</v>
      </c>
      <c r="C43" s="8">
        <v>3.8029532953172129</v>
      </c>
      <c r="D43" s="8">
        <v>3.8029532953172129</v>
      </c>
      <c r="E43" s="8">
        <v>9.0386968490532524</v>
      </c>
    </row>
    <row r="44" spans="1:5" ht="20.25" customHeight="1" x14ac:dyDescent="0.2">
      <c r="A44" s="3" t="s">
        <v>109</v>
      </c>
      <c r="B44" s="4">
        <v>-1.8341756369702922</v>
      </c>
      <c r="C44" s="4">
        <v>-0.24646443140559082</v>
      </c>
      <c r="D44" s="4">
        <v>1.7039779137359989</v>
      </c>
      <c r="E44" s="4">
        <v>5.6351133099889594</v>
      </c>
    </row>
    <row r="45" spans="1:5" ht="20.25" customHeight="1" x14ac:dyDescent="0.2">
      <c r="A45" s="7" t="s">
        <v>110</v>
      </c>
      <c r="B45" s="8">
        <v>1.0000481283217955</v>
      </c>
      <c r="C45" s="8">
        <v>2.9507109734416614</v>
      </c>
      <c r="D45" s="8">
        <v>2.1263124965769764</v>
      </c>
      <c r="E45" s="8">
        <v>4.2049537310208329</v>
      </c>
    </row>
    <row r="46" spans="1:5" ht="20.25" customHeight="1" x14ac:dyDescent="0.2">
      <c r="A46" s="3" t="s">
        <v>111</v>
      </c>
      <c r="B46" s="4">
        <v>-0.48541380778799326</v>
      </c>
      <c r="C46" s="4">
        <v>0.96111926332191899</v>
      </c>
      <c r="D46" s="4">
        <v>1.8246923481848087</v>
      </c>
      <c r="E46" s="4">
        <v>1.8246923481848087</v>
      </c>
    </row>
    <row r="47" spans="1:5" ht="20.25" customHeight="1" x14ac:dyDescent="0.2">
      <c r="A47" s="7" t="s">
        <v>112</v>
      </c>
      <c r="B47" s="8">
        <v>0.22710315303642314</v>
      </c>
      <c r="C47" s="8">
        <v>-0.94933967797782293</v>
      </c>
      <c r="D47" s="8">
        <v>-0.94933967797782293</v>
      </c>
      <c r="E47" s="8">
        <v>0.68820990399083293</v>
      </c>
    </row>
    <row r="48" spans="1:5" ht="20.25" customHeight="1" x14ac:dyDescent="0.2">
      <c r="A48" s="3" t="s">
        <v>113</v>
      </c>
      <c r="B48" s="4">
        <v>3.6540409003761321</v>
      </c>
      <c r="C48" s="4">
        <v>4.3888104112214998</v>
      </c>
      <c r="D48" s="4">
        <v>1.7645732088374944</v>
      </c>
      <c r="E48" s="4">
        <v>1.8536449234206831</v>
      </c>
    </row>
    <row r="49" spans="1:5" ht="20.25" customHeight="1" x14ac:dyDescent="0.2">
      <c r="A49" s="7" t="s">
        <v>114</v>
      </c>
      <c r="B49" s="8">
        <v>0.58733419158789602</v>
      </c>
      <c r="C49" s="8">
        <v>3.3878197128623944</v>
      </c>
      <c r="D49" s="8">
        <v>2.3188916724496522</v>
      </c>
      <c r="E49" s="8">
        <v>1.9728736639826217</v>
      </c>
    </row>
    <row r="50" spans="1:5" ht="20.25" customHeight="1" x14ac:dyDescent="0.2">
      <c r="A50" s="3" t="s">
        <v>115</v>
      </c>
      <c r="B50" s="4">
        <v>2.1529557678743094</v>
      </c>
      <c r="C50" s="4">
        <v>6.954667735627118</v>
      </c>
      <c r="D50" s="4">
        <v>3.5087243551012115</v>
      </c>
      <c r="E50" s="4">
        <v>3.5087243551012115</v>
      </c>
    </row>
    <row r="51" spans="1:5" ht="20.25" customHeight="1" x14ac:dyDescent="0.2">
      <c r="A51" s="7" t="s">
        <v>116</v>
      </c>
      <c r="B51" s="8">
        <v>-2.5691676052767787</v>
      </c>
      <c r="C51" s="8">
        <v>3.5483226755879338</v>
      </c>
      <c r="D51" s="8">
        <v>3.5483226755879338</v>
      </c>
      <c r="E51" s="8">
        <v>4.5934147685467996</v>
      </c>
    </row>
    <row r="52" spans="1:5" ht="20.25" customHeight="1" x14ac:dyDescent="0.2">
      <c r="A52" s="3" t="s">
        <v>117</v>
      </c>
      <c r="B52" s="4">
        <v>1.7685899765012669</v>
      </c>
      <c r="C52" s="4">
        <v>2.0747511503106164</v>
      </c>
      <c r="D52" s="4">
        <v>2.7798407162171745</v>
      </c>
      <c r="E52" s="4">
        <v>3.9951966824583796</v>
      </c>
    </row>
    <row r="53" spans="1:5" ht="20.25" customHeight="1" x14ac:dyDescent="0.2">
      <c r="A53" s="7" t="s">
        <v>118</v>
      </c>
      <c r="B53" s="8">
        <v>1.6686244066646427</v>
      </c>
      <c r="C53" s="8">
        <v>2.9359518454241673</v>
      </c>
      <c r="D53" s="8">
        <v>2.8337076534586281</v>
      </c>
      <c r="E53" s="8">
        <v>3.8734832707509659</v>
      </c>
    </row>
    <row r="54" spans="1:5" ht="20.25" customHeight="1" x14ac:dyDescent="0.2">
      <c r="A54" s="3" t="s">
        <v>119</v>
      </c>
      <c r="B54" s="4">
        <v>-2.251190989778673</v>
      </c>
      <c r="C54" s="4">
        <v>-0.98446424191880322</v>
      </c>
      <c r="D54" s="4">
        <v>1.8210988272664208</v>
      </c>
      <c r="E54" s="4">
        <v>1.8210988272664208</v>
      </c>
    </row>
    <row r="55" spans="1:5" ht="20.25" customHeight="1" x14ac:dyDescent="0.2">
      <c r="A55" s="7" t="s">
        <v>120</v>
      </c>
      <c r="B55" s="8">
        <v>3.0207688499257035</v>
      </c>
      <c r="C55" s="8">
        <v>4.6279130912249888</v>
      </c>
      <c r="D55" s="8">
        <v>4.6279130912249888</v>
      </c>
      <c r="E55" s="8">
        <v>2.0904322943539277</v>
      </c>
    </row>
    <row r="56" spans="1:5" ht="20.25" customHeight="1" x14ac:dyDescent="0.2">
      <c r="A56" s="3" t="s">
        <v>121</v>
      </c>
      <c r="B56" s="4">
        <v>-0.82561330648155407</v>
      </c>
      <c r="C56" s="4">
        <v>0.93784144120987456</v>
      </c>
      <c r="D56" s="4">
        <v>2.7167064571062438</v>
      </c>
      <c r="E56" s="4">
        <v>1.8029398778237837</v>
      </c>
    </row>
    <row r="57" spans="1:5" ht="20.25" customHeight="1" x14ac:dyDescent="0.2">
      <c r="A57" s="7" t="s">
        <v>122</v>
      </c>
      <c r="B57" s="8">
        <v>-4.0823069247737154</v>
      </c>
      <c r="C57" s="8">
        <v>-3.9230823468639597</v>
      </c>
      <c r="D57" s="8">
        <v>0.42333568132797428</v>
      </c>
      <c r="E57" s="8">
        <v>5.7591684976188162E-2</v>
      </c>
    </row>
    <row r="58" spans="1:5" ht="20.25" customHeight="1" x14ac:dyDescent="0.2">
      <c r="A58" s="3" t="s">
        <v>123</v>
      </c>
      <c r="B58" s="4">
        <v>1.5668434719700253</v>
      </c>
      <c r="C58" s="4">
        <v>-0.68197410401221736</v>
      </c>
      <c r="D58" s="4">
        <v>0.13827599102156363</v>
      </c>
      <c r="E58" s="4">
        <v>0.13827599102156363</v>
      </c>
    </row>
    <row r="59" spans="1:5" ht="20.25" customHeight="1" x14ac:dyDescent="0.2">
      <c r="A59" s="7" t="s">
        <v>124</v>
      </c>
      <c r="B59" s="8">
        <v>0.53988170791956502</v>
      </c>
      <c r="C59" s="8">
        <v>-2.582415461250176</v>
      </c>
      <c r="D59" s="8">
        <v>-2.582415461250176</v>
      </c>
      <c r="E59" s="8">
        <v>-1.5612970355501576</v>
      </c>
    </row>
    <row r="60" spans="1:5" ht="20.25" customHeight="1" x14ac:dyDescent="0.2">
      <c r="A60" s="3" t="s">
        <v>125</v>
      </c>
      <c r="B60" s="4">
        <v>-1.2752396222345808</v>
      </c>
      <c r="C60" s="4">
        <v>-3.5727587609594602</v>
      </c>
      <c r="D60" s="4">
        <v>-3.0864630488135814</v>
      </c>
      <c r="E60" s="4">
        <v>-2.6860709187078946</v>
      </c>
    </row>
    <row r="61" spans="1:5" ht="20.25" customHeight="1" x14ac:dyDescent="0.2">
      <c r="A61" s="7" t="s">
        <v>126</v>
      </c>
      <c r="B61" s="8">
        <v>-0.15612125548790656</v>
      </c>
      <c r="C61" s="8">
        <v>0.51917861597836623</v>
      </c>
      <c r="D61" s="8">
        <v>-1.8949824073801413</v>
      </c>
      <c r="E61" s="8">
        <v>-1.5831269570166118</v>
      </c>
    </row>
    <row r="62" spans="1:5" ht="20.25" customHeight="1" x14ac:dyDescent="0.2">
      <c r="A62" s="3" t="s">
        <v>127</v>
      </c>
      <c r="B62" s="4">
        <v>-0.24327676280613275</v>
      </c>
      <c r="C62" s="4">
        <v>-0.93702110067623856</v>
      </c>
      <c r="D62" s="4">
        <v>-1.6499476283741932</v>
      </c>
      <c r="E62" s="4">
        <v>-1.6499476283741932</v>
      </c>
    </row>
    <row r="63" spans="1:5" ht="20.25" customHeight="1" x14ac:dyDescent="0.2">
      <c r="A63" s="7" t="s">
        <v>128</v>
      </c>
      <c r="B63" s="8">
        <v>-2.5362315295196503</v>
      </c>
      <c r="C63" s="8">
        <v>-4.7173297142884874</v>
      </c>
      <c r="D63" s="8">
        <v>-4.7173297142884874</v>
      </c>
      <c r="E63" s="8">
        <v>-2.1561312490273599</v>
      </c>
    </row>
    <row r="64" spans="1:5" ht="20.25" customHeight="1" x14ac:dyDescent="0.2">
      <c r="A64" s="3" t="s">
        <v>129</v>
      </c>
      <c r="B64" s="4">
        <v>-2.8439126372010404</v>
      </c>
      <c r="C64" s="4">
        <v>-5.6490895968833055</v>
      </c>
      <c r="D64" s="4">
        <v>-5.1891809302994307</v>
      </c>
      <c r="E64" s="4">
        <v>-2.658790757991214</v>
      </c>
    </row>
    <row r="65" spans="1:5" ht="20.25" customHeight="1" x14ac:dyDescent="0.2">
      <c r="A65" s="7" t="s">
        <v>130</v>
      </c>
      <c r="B65" s="8">
        <v>1.3811841111362133</v>
      </c>
      <c r="C65" s="8">
        <v>-3.5597111544969584</v>
      </c>
      <c r="D65" s="8">
        <v>-4.6374739897167672</v>
      </c>
      <c r="E65" s="8">
        <v>-3.6774038533038511</v>
      </c>
    </row>
    <row r="66" spans="1:5" ht="20.25" customHeight="1" x14ac:dyDescent="0.2">
      <c r="A66" s="3" t="s">
        <v>131</v>
      </c>
      <c r="B66" s="4">
        <v>-3.8129036998135746E-2</v>
      </c>
      <c r="C66" s="4">
        <v>-4.2107870904161349</v>
      </c>
      <c r="D66" s="4">
        <v>-4.5275415517823658</v>
      </c>
      <c r="E66" s="4">
        <v>-4.5275415517823658</v>
      </c>
    </row>
    <row r="67" spans="1:5" ht="20.25" customHeight="1" x14ac:dyDescent="0.2">
      <c r="A67" s="7" t="s">
        <v>132</v>
      </c>
      <c r="B67" s="8">
        <v>0.28656474179236113</v>
      </c>
      <c r="C67" s="8">
        <v>-0.83043813010759138</v>
      </c>
      <c r="D67" s="8">
        <v>-0.83043813010759138</v>
      </c>
      <c r="E67" s="8">
        <v>-3.6173837894022509</v>
      </c>
    </row>
    <row r="68" spans="1:5" ht="20.25" customHeight="1" x14ac:dyDescent="0.2">
      <c r="A68" s="3" t="s">
        <v>133</v>
      </c>
      <c r="B68" s="4">
        <v>0.42233926607639916</v>
      </c>
      <c r="C68" s="4">
        <v>1.4012191676360031</v>
      </c>
      <c r="D68" s="4">
        <v>0.29421027284806112</v>
      </c>
      <c r="E68" s="4">
        <v>-1.8908148276998826</v>
      </c>
    </row>
    <row r="69" spans="1:5" ht="20.25" customHeight="1" x14ac:dyDescent="0.2">
      <c r="A69" s="7" t="s">
        <v>134</v>
      </c>
      <c r="B69" s="8">
        <v>3.0604424065517666</v>
      </c>
      <c r="C69" s="8">
        <v>3.8770069976677091</v>
      </c>
      <c r="D69" s="8">
        <v>1.5209856843828362</v>
      </c>
      <c r="E69" s="8">
        <v>-8.4113743231806204E-3</v>
      </c>
    </row>
    <row r="70" spans="1:5" ht="20.25" customHeight="1" x14ac:dyDescent="0.2">
      <c r="A70" s="3" t="s">
        <v>135</v>
      </c>
      <c r="B70" s="4">
        <v>-0.27208340557202115</v>
      </c>
      <c r="C70" s="4">
        <v>3.0649863110636222</v>
      </c>
      <c r="D70" s="4">
        <v>1.9201047935084592</v>
      </c>
      <c r="E70" s="4">
        <v>1.9201047935084592</v>
      </c>
    </row>
    <row r="71" spans="1:5" ht="20.25" customHeight="1" x14ac:dyDescent="0.2">
      <c r="A71" s="7" t="s">
        <v>136</v>
      </c>
      <c r="B71" s="8">
        <v>0.51024559106935818</v>
      </c>
      <c r="C71" s="8">
        <v>3.7060201225896039</v>
      </c>
      <c r="D71" s="8">
        <v>3.7060201225896039</v>
      </c>
      <c r="E71" s="8">
        <v>3.0159815284343194</v>
      </c>
    </row>
    <row r="72" spans="1:5" ht="20.25" customHeight="1" x14ac:dyDescent="0.2">
      <c r="A72" s="3" t="s">
        <v>137</v>
      </c>
      <c r="B72" s="4">
        <v>0.94971754956849619</v>
      </c>
      <c r="C72" s="4">
        <v>4.5550072596904245</v>
      </c>
      <c r="D72" s="4">
        <v>4.138591412344006</v>
      </c>
      <c r="E72" s="4">
        <v>3.7951454584431943</v>
      </c>
    </row>
    <row r="73" spans="1:5" ht="20.25" customHeight="1" x14ac:dyDescent="0.2">
      <c r="A73" s="7" t="s">
        <v>138</v>
      </c>
      <c r="B73" s="8">
        <v>2.3449258209890189</v>
      </c>
      <c r="C73" s="8">
        <v>3.7373721767940848</v>
      </c>
      <c r="D73" s="8">
        <v>3.9980228372820559</v>
      </c>
      <c r="E73" s="8">
        <v>3.7595257566023221</v>
      </c>
    </row>
    <row r="74" spans="1:5" ht="20.25" customHeight="1" x14ac:dyDescent="0.2">
      <c r="A74" s="3" t="s">
        <v>139</v>
      </c>
      <c r="B74" s="4">
        <v>0.64808571614467514</v>
      </c>
      <c r="C74" s="4">
        <v>4.1950767258599919</v>
      </c>
      <c r="D74" s="4">
        <v>4.0495328132339914</v>
      </c>
      <c r="E74" s="4">
        <v>4.0495328132339914</v>
      </c>
    </row>
    <row r="75" spans="1:5" ht="20.25" customHeight="1" x14ac:dyDescent="0.2">
      <c r="A75" s="7" t="s">
        <v>140</v>
      </c>
      <c r="B75" s="8">
        <v>-2.7369429187801608</v>
      </c>
      <c r="C75" s="8">
        <v>1.5969107951247619</v>
      </c>
      <c r="D75" s="8">
        <v>1.5969107951247619</v>
      </c>
      <c r="E75" s="8">
        <v>3.5362411617854139</v>
      </c>
    </row>
    <row r="76" spans="1:5" ht="20.25" customHeight="1" x14ac:dyDescent="0.2">
      <c r="A76" s="36" t="s">
        <v>141</v>
      </c>
      <c r="B76" s="4">
        <v>1.6741585969786588</v>
      </c>
      <c r="C76" s="4">
        <v>1.4967262380895852</v>
      </c>
      <c r="D76" s="4">
        <v>1.5456611926785158</v>
      </c>
      <c r="E76" s="4">
        <v>2.7808423593900455</v>
      </c>
    </row>
    <row r="77" spans="1:5" ht="20.25" customHeight="1" x14ac:dyDescent="0.2">
      <c r="A77" s="7" t="s">
        <v>142</v>
      </c>
      <c r="B77" s="8">
        <v>-1.5816800361690642</v>
      </c>
      <c r="C77" s="8">
        <v>-1.7176167719748836</v>
      </c>
      <c r="D77" s="8">
        <v>0.40522570152643489</v>
      </c>
      <c r="E77" s="8">
        <v>1.3674797171112862</v>
      </c>
    </row>
    <row r="78" spans="1:5" ht="20.25" customHeight="1" x14ac:dyDescent="0.2">
      <c r="A78" s="3" t="s">
        <v>143</v>
      </c>
      <c r="B78" s="4">
        <v>-0.61993744187996969</v>
      </c>
      <c r="C78" s="4">
        <v>-3.2980716508893559</v>
      </c>
      <c r="D78" s="4">
        <v>-0.56417200203947582</v>
      </c>
      <c r="E78" s="4">
        <v>-0.56417200203947582</v>
      </c>
    </row>
    <row r="79" spans="1:5" ht="20.25" customHeight="1" x14ac:dyDescent="0.2">
      <c r="A79" s="7" t="s">
        <v>144</v>
      </c>
      <c r="B79" s="8">
        <v>4.8740194186547292E-2</v>
      </c>
      <c r="C79" s="8">
        <v>-0.27112931296026099</v>
      </c>
      <c r="D79" s="8">
        <v>-0.27112931296026099</v>
      </c>
      <c r="E79" s="8">
        <v>-0.99963292141889148</v>
      </c>
    </row>
    <row r="80" spans="1:5" ht="20.25" customHeight="1" x14ac:dyDescent="0.2">
      <c r="A80" s="3" t="s">
        <v>145</v>
      </c>
      <c r="B80" s="4">
        <v>-11.637157422912992</v>
      </c>
      <c r="C80" s="4">
        <v>-13.570331364051302</v>
      </c>
      <c r="D80" s="4">
        <v>-7.0710831643806538</v>
      </c>
      <c r="E80" s="4">
        <v>-4.7197249895414073</v>
      </c>
    </row>
    <row r="81" spans="1:5" ht="20.25" customHeight="1" x14ac:dyDescent="0.2">
      <c r="A81" s="7" t="s">
        <v>146</v>
      </c>
      <c r="B81" s="8">
        <v>8.5057854092046128</v>
      </c>
      <c r="C81" s="8">
        <v>-4.6253951548011933</v>
      </c>
      <c r="D81" s="8">
        <v>-6.2344461538390572</v>
      </c>
      <c r="E81" s="8">
        <v>-5.4680954018863641</v>
      </c>
    </row>
    <row r="82" spans="1:5" ht="20.25" customHeight="1" x14ac:dyDescent="0.2">
      <c r="A82" s="36" t="s">
        <v>147</v>
      </c>
      <c r="B82" s="4">
        <v>3.6603279411880463</v>
      </c>
      <c r="C82" s="4">
        <v>-0.98725149563922976</v>
      </c>
      <c r="D82" s="4">
        <v>-4.8986726711907735</v>
      </c>
      <c r="E82" s="4">
        <v>-4.8986726711907735</v>
      </c>
    </row>
    <row r="83" spans="1:5" ht="20.25" customHeight="1" x14ac:dyDescent="0.2">
      <c r="A83" s="7" t="s">
        <v>148</v>
      </c>
      <c r="B83" s="8">
        <v>3.3659063126642019</v>
      </c>
      <c r="C83" s="8">
        <v>2.7743319967298063</v>
      </c>
      <c r="D83" s="8">
        <v>2.7743319967298063</v>
      </c>
      <c r="E83" s="8">
        <v>-4.1732815863822603</v>
      </c>
    </row>
    <row r="84" spans="1:5" ht="20.25" customHeight="1" x14ac:dyDescent="0.2">
      <c r="A84" s="36" t="s">
        <v>149</v>
      </c>
      <c r="B84" s="4">
        <v>-0.46647747601277212</v>
      </c>
      <c r="C84" s="4">
        <v>16.021923328754117</v>
      </c>
      <c r="D84" s="4">
        <v>9.0741684674726422</v>
      </c>
      <c r="E84" s="4">
        <v>2.8019140062688574</v>
      </c>
    </row>
    <row r="85" spans="1:5" ht="20.25" customHeight="1" x14ac:dyDescent="0.2">
      <c r="A85" s="7" t="s">
        <v>150</v>
      </c>
      <c r="B85" s="8">
        <v>-3.3787202967995422</v>
      </c>
      <c r="C85" s="8">
        <v>3.2803497847683438</v>
      </c>
      <c r="D85" s="8">
        <v>7.0581693086626096</v>
      </c>
      <c r="E85" s="8">
        <v>4.9102318385902732</v>
      </c>
    </row>
    <row r="86" spans="1:5" ht="20.25" customHeight="1" x14ac:dyDescent="0.2">
      <c r="A86" s="36" t="s">
        <v>151</v>
      </c>
      <c r="B86" s="4">
        <v>1.0514674087916731</v>
      </c>
      <c r="C86" s="4">
        <v>0.28160389868672198</v>
      </c>
      <c r="D86" s="4">
        <v>5.2621135530505292</v>
      </c>
      <c r="E86" s="4">
        <v>5.2621135530505292</v>
      </c>
    </row>
    <row r="87" spans="1:5" ht="20.25" customHeight="1" x14ac:dyDescent="0.2">
      <c r="A87" s="7" t="s">
        <v>152</v>
      </c>
      <c r="B87" s="8">
        <v>2.4654624940409375</v>
      </c>
      <c r="C87" s="8">
        <v>-0.62737932796919083</v>
      </c>
      <c r="D87" s="8">
        <v>-0.62737932796919083</v>
      </c>
      <c r="E87" s="8">
        <v>4.3722925270010871</v>
      </c>
    </row>
    <row r="88" spans="1:5" ht="20.25" customHeight="1" x14ac:dyDescent="0.2">
      <c r="A88" s="36" t="s">
        <v>153</v>
      </c>
      <c r="B88" s="4">
        <v>-0.67030295294863151</v>
      </c>
      <c r="C88" s="4">
        <v>-0.40426459114036861</v>
      </c>
      <c r="D88" s="4">
        <v>-0.51451966204610899</v>
      </c>
      <c r="E88" s="4">
        <v>0.61772733598803864</v>
      </c>
    </row>
    <row r="89" spans="1:5" ht="20.25" customHeight="1" x14ac:dyDescent="0.2">
      <c r="A89" s="7" t="s">
        <v>154</v>
      </c>
      <c r="B89" s="8">
        <v>1.6860234445133848</v>
      </c>
      <c r="C89" s="8">
        <v>4.6910835344025736</v>
      </c>
      <c r="D89" s="8">
        <v>1.2328886391355987</v>
      </c>
      <c r="E89" s="8">
        <v>0.99319491129137294</v>
      </c>
    </row>
    <row r="90" spans="1:5" ht="20.25" customHeight="1" x14ac:dyDescent="0.2">
      <c r="A90" s="36" t="s">
        <v>155</v>
      </c>
      <c r="B90" s="4">
        <v>-1.1373251710983689</v>
      </c>
      <c r="C90" s="4">
        <v>1.9090112401213721</v>
      </c>
      <c r="D90" s="4">
        <v>1.4036088029520277</v>
      </c>
      <c r="E90" s="4">
        <v>1.4036088029520277</v>
      </c>
    </row>
    <row r="91" spans="1:5" ht="20.25" customHeight="1" x14ac:dyDescent="0.2">
      <c r="A91" s="7" t="s">
        <v>156</v>
      </c>
      <c r="B91" s="8">
        <v>-2.3405058041658156</v>
      </c>
      <c r="C91" s="8">
        <v>-2.6040690195765048</v>
      </c>
      <c r="D91" s="8">
        <v>-2.6040690195765048</v>
      </c>
      <c r="E91" s="8">
        <v>0.92397630814851084</v>
      </c>
    </row>
    <row r="92" spans="1:5" ht="20.25" customHeight="1" x14ac:dyDescent="0.2">
      <c r="A92" s="36" t="s">
        <v>157</v>
      </c>
      <c r="B92" s="4">
        <v>0.70809817126298302</v>
      </c>
      <c r="C92" s="4">
        <v>-0.93919108063517109</v>
      </c>
      <c r="D92" s="4">
        <v>-1.7609790081877796</v>
      </c>
      <c r="E92" s="4">
        <v>0.79116124994143</v>
      </c>
    </row>
    <row r="93" spans="1:5" ht="20.25" customHeight="1" x14ac:dyDescent="0.2">
      <c r="A93" s="7" t="s">
        <v>158</v>
      </c>
      <c r="B93" s="8">
        <v>0.52315778101270638</v>
      </c>
      <c r="C93" s="8">
        <v>-2.2075027980161033</v>
      </c>
      <c r="D93" s="8">
        <v>-1.9159876823065969</v>
      </c>
      <c r="E93" s="8">
        <v>-0.95899940734349709</v>
      </c>
    </row>
    <row r="94" spans="1:5" ht="20.25" customHeight="1" x14ac:dyDescent="0.2">
      <c r="A94" s="36" t="s">
        <v>159</v>
      </c>
      <c r="B94" s="4">
        <v>-0.42408693459088376</v>
      </c>
      <c r="C94" s="4">
        <v>-1.6773455544999538</v>
      </c>
      <c r="D94" s="4">
        <v>-1.8554305006581284</v>
      </c>
      <c r="E94" s="4">
        <v>-1.8554305006581284</v>
      </c>
    </row>
    <row r="95" spans="1:5" ht="20.25" customHeight="1" x14ac:dyDescent="0.2">
      <c r="A95" s="7" t="s">
        <v>160</v>
      </c>
      <c r="B95" s="8">
        <v>-0.59078893784083597</v>
      </c>
      <c r="C95" s="8">
        <v>-0.44888797027016203</v>
      </c>
      <c r="D95" s="8">
        <v>-0.44888797027016203</v>
      </c>
      <c r="E95" s="8">
        <v>-1.3427561410247257</v>
      </c>
    </row>
    <row r="96" spans="1:5" ht="20.25" customHeight="1" x14ac:dyDescent="0.2">
      <c r="A96" s="36" t="s">
        <v>161</v>
      </c>
      <c r="B96" s="4">
        <v>1.6624218136996216</v>
      </c>
      <c r="C96" s="4">
        <v>1.7103142754061329</v>
      </c>
      <c r="D96" s="4">
        <v>0.65367324910148294</v>
      </c>
      <c r="E96" s="4">
        <v>-0.69057358940063374</v>
      </c>
    </row>
    <row r="97" spans="1:5" ht="20.25" customHeight="1" x14ac:dyDescent="0.2">
      <c r="A97" s="7" t="s">
        <v>162</v>
      </c>
      <c r="B97" s="8">
        <v>-1.6539173517362005</v>
      </c>
      <c r="C97" s="8">
        <v>-0.7290115033975475</v>
      </c>
      <c r="D97" s="8">
        <v>0.17510719894764382</v>
      </c>
      <c r="E97" s="8">
        <v>-0.3017847696498821</v>
      </c>
    </row>
    <row r="98" spans="1:5" ht="20.25" customHeight="1" x14ac:dyDescent="0.2">
      <c r="A98" s="36" t="s">
        <v>163</v>
      </c>
      <c r="B98" s="4">
        <v>-2.1364656056595877</v>
      </c>
      <c r="C98" s="4">
        <v>-2.432754075814092</v>
      </c>
      <c r="D98" s="4">
        <v>-0.48785741429561158</v>
      </c>
      <c r="E98" s="4">
        <v>-0.48785741429561158</v>
      </c>
    </row>
    <row r="99" spans="1:5" ht="19.5" customHeight="1" x14ac:dyDescent="0.25">
      <c r="A99" s="21" t="s">
        <v>171</v>
      </c>
      <c r="B99" s="21"/>
      <c r="C99" s="21"/>
      <c r="D99" s="21"/>
      <c r="E99" s="21"/>
    </row>
    <row r="100" spans="1:5" ht="19.5" customHeight="1" x14ac:dyDescent="0.25">
      <c r="A100" s="25" t="s">
        <v>50</v>
      </c>
      <c r="B100" s="25"/>
      <c r="C100" s="25"/>
      <c r="D100" s="25"/>
      <c r="E100" s="25"/>
    </row>
  </sheetData>
  <mergeCells count="1">
    <mergeCell ref="A5:E5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Plan128"/>
  <dimension ref="A1:O100"/>
  <sheetViews>
    <sheetView showGridLines="0" workbookViewId="0">
      <pane ySplit="7" topLeftCell="A56" activePane="bottomLeft" state="frozen"/>
      <selection activeCell="A105" sqref="A105:XFD296"/>
      <selection pane="bottomLeft" activeCell="A105" sqref="A105:XFD296"/>
    </sheetView>
  </sheetViews>
  <sheetFormatPr defaultColWidth="8.796875" defaultRowHeight="14.25" x14ac:dyDescent="0.2"/>
  <cols>
    <col min="1" max="2" width="8.796875" style="20"/>
    <col min="3" max="7" width="15.19921875" style="20" customWidth="1"/>
    <col min="8" max="16384" width="8.796875" style="20"/>
  </cols>
  <sheetData>
    <row r="1" spans="1:15" s="19" customFormat="1" ht="20.100000000000001" customHeight="1" x14ac:dyDescent="0.25">
      <c r="A1" s="19" t="s">
        <v>178</v>
      </c>
      <c r="H1" s="23"/>
    </row>
    <row r="2" spans="1:15" s="19" customFormat="1" ht="20.100000000000001" customHeight="1" x14ac:dyDescent="0.25">
      <c r="A2" s="19" t="s">
        <v>10</v>
      </c>
    </row>
    <row r="3" spans="1:15" s="19" customFormat="1" ht="20.100000000000001" customHeight="1" x14ac:dyDescent="0.25">
      <c r="A3" s="19" t="s">
        <v>13</v>
      </c>
      <c r="H3" s="23"/>
    </row>
    <row r="4" spans="1:15" s="19" customFormat="1" ht="20.100000000000001" customHeight="1" x14ac:dyDescent="0.25">
      <c r="A4" s="19" t="s">
        <v>174</v>
      </c>
      <c r="H4" s="23"/>
    </row>
    <row r="5" spans="1:15" ht="20.100000000000001" customHeight="1" x14ac:dyDescent="0.2">
      <c r="A5" s="88" t="s">
        <v>49</v>
      </c>
      <c r="B5" s="88"/>
      <c r="C5" s="88"/>
      <c r="D5" s="88"/>
      <c r="E5" s="88"/>
      <c r="F5" s="88"/>
      <c r="G5" s="88"/>
    </row>
    <row r="6" spans="1:15" ht="20.100000000000001" customHeight="1" x14ac:dyDescent="0.2">
      <c r="A6" s="89" t="s">
        <v>66</v>
      </c>
      <c r="B6" s="90"/>
      <c r="C6" s="93" t="s">
        <v>17</v>
      </c>
      <c r="D6" s="94"/>
      <c r="E6" s="94"/>
      <c r="F6" s="95"/>
      <c r="G6" s="96" t="s">
        <v>18</v>
      </c>
    </row>
    <row r="7" spans="1:15" ht="20.100000000000001" customHeight="1" x14ac:dyDescent="0.2">
      <c r="A7" s="91"/>
      <c r="B7" s="92"/>
      <c r="C7" s="11" t="s">
        <v>19</v>
      </c>
      <c r="D7" s="11" t="s">
        <v>20</v>
      </c>
      <c r="E7" s="11" t="s">
        <v>21</v>
      </c>
      <c r="F7" s="11" t="s">
        <v>22</v>
      </c>
      <c r="G7" s="97"/>
    </row>
    <row r="8" spans="1:15" ht="20.100000000000001" customHeight="1" x14ac:dyDescent="0.25">
      <c r="A8" s="85">
        <v>2003</v>
      </c>
      <c r="B8" s="12" t="s">
        <v>165</v>
      </c>
      <c r="C8" s="13">
        <v>23.460326946477082</v>
      </c>
      <c r="D8" s="13">
        <v>4.3718366413247889</v>
      </c>
      <c r="E8" s="13">
        <v>-1.0741345504609701</v>
      </c>
      <c r="F8" s="13">
        <v>1.4515026276147758</v>
      </c>
      <c r="G8" s="13">
        <v>-2.0240555948008332</v>
      </c>
      <c r="H8" s="19"/>
      <c r="I8" s="19"/>
      <c r="J8" s="19"/>
      <c r="K8" s="19"/>
      <c r="L8" s="19"/>
      <c r="M8" s="19"/>
      <c r="N8" s="19"/>
      <c r="O8" s="19"/>
    </row>
    <row r="9" spans="1:15" ht="20.100000000000001" customHeight="1" x14ac:dyDescent="0.25">
      <c r="A9" s="86"/>
      <c r="B9" s="17" t="s">
        <v>166</v>
      </c>
      <c r="C9" s="5">
        <v>16.804138508281707</v>
      </c>
      <c r="D9" s="5">
        <v>0.56370594830577048</v>
      </c>
      <c r="E9" s="5">
        <v>-1.8093105488880656</v>
      </c>
      <c r="F9" s="5">
        <v>-0.61232336930417963</v>
      </c>
      <c r="G9" s="5">
        <v>-3.1011760600987204</v>
      </c>
      <c r="H9" s="24"/>
      <c r="I9" s="24"/>
      <c r="J9" s="24"/>
      <c r="K9" s="24"/>
      <c r="L9" s="24"/>
      <c r="M9" s="24"/>
      <c r="N9" s="24"/>
      <c r="O9" s="24"/>
    </row>
    <row r="10" spans="1:15" ht="20.100000000000001" customHeight="1" x14ac:dyDescent="0.25">
      <c r="A10" s="86"/>
      <c r="B10" s="14" t="s">
        <v>167</v>
      </c>
      <c r="C10" s="9">
        <v>11.861489995139983</v>
      </c>
      <c r="D10" s="9">
        <v>-2.110237882390209</v>
      </c>
      <c r="E10" s="9">
        <v>-0.44696922425818686</v>
      </c>
      <c r="F10" s="9">
        <v>-1.0683596077530999</v>
      </c>
      <c r="G10" s="9">
        <v>-2.7942677904599478</v>
      </c>
      <c r="H10" s="19"/>
      <c r="I10" s="19"/>
      <c r="J10" s="19"/>
      <c r="K10" s="19"/>
      <c r="L10" s="19"/>
      <c r="M10" s="19"/>
      <c r="N10" s="19"/>
      <c r="O10" s="19"/>
    </row>
    <row r="11" spans="1:15" ht="20.100000000000001" customHeight="1" x14ac:dyDescent="0.25">
      <c r="A11" s="87"/>
      <c r="B11" s="18" t="s">
        <v>168</v>
      </c>
      <c r="C11" s="15">
        <v>8.6178739071593569</v>
      </c>
      <c r="D11" s="15">
        <v>-4.4817745556238968</v>
      </c>
      <c r="E11" s="15">
        <v>1.2801529961612435</v>
      </c>
      <c r="F11" s="15">
        <v>-1.2384266487622364</v>
      </c>
      <c r="G11" s="15">
        <v>-2.0055581039043924</v>
      </c>
      <c r="H11" s="19"/>
      <c r="I11" s="19"/>
      <c r="J11" s="19"/>
      <c r="K11" s="19"/>
      <c r="L11" s="19"/>
      <c r="M11" s="19"/>
      <c r="N11" s="19"/>
      <c r="O11" s="19"/>
    </row>
    <row r="12" spans="1:15" ht="20.100000000000001" customHeight="1" x14ac:dyDescent="0.2">
      <c r="A12" s="85">
        <v>2004</v>
      </c>
      <c r="B12" s="12" t="s">
        <v>165</v>
      </c>
      <c r="C12" s="13">
        <v>-14.05808895460553</v>
      </c>
      <c r="D12" s="13">
        <v>7.3024192914093344</v>
      </c>
      <c r="E12" s="13">
        <v>2.0253387557490843</v>
      </c>
      <c r="F12" s="13">
        <v>4.4022929397369515</v>
      </c>
      <c r="G12" s="13">
        <v>5.3859781526668149</v>
      </c>
    </row>
    <row r="13" spans="1:15" ht="20.100000000000001" customHeight="1" x14ac:dyDescent="0.2">
      <c r="A13" s="86"/>
      <c r="B13" s="17" t="s">
        <v>166</v>
      </c>
      <c r="C13" s="5">
        <v>-14.95592894806903</v>
      </c>
      <c r="D13" s="5">
        <v>10.984525519812816</v>
      </c>
      <c r="E13" s="5">
        <v>1.3374731553117636</v>
      </c>
      <c r="F13" s="5">
        <v>5.8248179077246443</v>
      </c>
      <c r="G13" s="5">
        <v>6.8616595997885943</v>
      </c>
    </row>
    <row r="14" spans="1:15" ht="20.100000000000001" customHeight="1" x14ac:dyDescent="0.2">
      <c r="A14" s="86"/>
      <c r="B14" s="14" t="s">
        <v>167</v>
      </c>
      <c r="C14" s="9">
        <v>-12.472229909850274</v>
      </c>
      <c r="D14" s="9">
        <v>15.148085808197486</v>
      </c>
      <c r="E14" s="9">
        <v>3.6007281633177568</v>
      </c>
      <c r="F14" s="9">
        <v>9.0642360387032106</v>
      </c>
      <c r="G14" s="9">
        <v>9.8821485598579617</v>
      </c>
    </row>
    <row r="15" spans="1:15" ht="20.100000000000001" customHeight="1" x14ac:dyDescent="0.2">
      <c r="A15" s="87"/>
      <c r="B15" s="18" t="s">
        <v>168</v>
      </c>
      <c r="C15" s="15">
        <v>-11.049104713563306</v>
      </c>
      <c r="D15" s="15">
        <v>14.992440167850575</v>
      </c>
      <c r="E15" s="15">
        <v>0.32499409640132093</v>
      </c>
      <c r="F15" s="15">
        <v>7.2492533357762179</v>
      </c>
      <c r="G15" s="15">
        <v>7.6777056408453337</v>
      </c>
    </row>
    <row r="16" spans="1:15" ht="20.100000000000001" customHeight="1" x14ac:dyDescent="0.2">
      <c r="A16" s="85">
        <v>2005</v>
      </c>
      <c r="B16" s="12" t="s">
        <v>165</v>
      </c>
      <c r="C16" s="13">
        <v>1.4016061494432686</v>
      </c>
      <c r="D16" s="13">
        <v>1.4913731470385994</v>
      </c>
      <c r="E16" s="13">
        <v>-0.96021960434934384</v>
      </c>
      <c r="F16" s="13">
        <v>0.30116724658946215</v>
      </c>
      <c r="G16" s="13">
        <v>0.45422945622120015</v>
      </c>
    </row>
    <row r="17" spans="1:7" ht="20.100000000000001" customHeight="1" x14ac:dyDescent="0.2">
      <c r="A17" s="86"/>
      <c r="B17" s="17" t="s">
        <v>166</v>
      </c>
      <c r="C17" s="5">
        <v>2.5816647943879723</v>
      </c>
      <c r="D17" s="5">
        <v>2.7635397253512384</v>
      </c>
      <c r="E17" s="5">
        <v>1.7867805807284087</v>
      </c>
      <c r="F17" s="5">
        <v>2.2984048938455626</v>
      </c>
      <c r="G17" s="5">
        <v>2.578186897930923</v>
      </c>
    </row>
    <row r="18" spans="1:7" ht="20.100000000000001" customHeight="1" x14ac:dyDescent="0.2">
      <c r="A18" s="86"/>
      <c r="B18" s="14" t="s">
        <v>167</v>
      </c>
      <c r="C18" s="9">
        <v>1.2723763606457661</v>
      </c>
      <c r="D18" s="9">
        <v>0.92847243767022469</v>
      </c>
      <c r="E18" s="9">
        <v>0.63829884569284179</v>
      </c>
      <c r="F18" s="9">
        <v>0.80909392276120595</v>
      </c>
      <c r="G18" s="9">
        <v>0.9830830925708911</v>
      </c>
    </row>
    <row r="19" spans="1:7" ht="20.100000000000001" customHeight="1" x14ac:dyDescent="0.2">
      <c r="A19" s="87"/>
      <c r="B19" s="18" t="s">
        <v>168</v>
      </c>
      <c r="C19" s="15">
        <v>-2.2942277335698535</v>
      </c>
      <c r="D19" s="15">
        <v>-0.26742946579426663</v>
      </c>
      <c r="E19" s="15">
        <v>1.7536583026869002</v>
      </c>
      <c r="F19" s="15">
        <v>0.6949281372374827</v>
      </c>
      <c r="G19" s="15">
        <v>0.92091066030022262</v>
      </c>
    </row>
    <row r="20" spans="1:7" ht="20.100000000000001" customHeight="1" x14ac:dyDescent="0.2">
      <c r="A20" s="85">
        <v>2006</v>
      </c>
      <c r="B20" s="12" t="s">
        <v>165</v>
      </c>
      <c r="C20" s="13">
        <v>15.695197785936443</v>
      </c>
      <c r="D20" s="13">
        <v>2.1930168540940098</v>
      </c>
      <c r="E20" s="13">
        <v>4.7923371019330752</v>
      </c>
      <c r="F20" s="13">
        <v>3.6647066257580185</v>
      </c>
      <c r="G20" s="13">
        <v>4.2585928413946261</v>
      </c>
    </row>
    <row r="21" spans="1:7" ht="20.100000000000001" customHeight="1" x14ac:dyDescent="0.2">
      <c r="A21" s="86"/>
      <c r="B21" s="17" t="s">
        <v>166</v>
      </c>
      <c r="C21" s="5">
        <v>17.355559639227145</v>
      </c>
      <c r="D21" s="5">
        <v>4.219323279677778</v>
      </c>
      <c r="E21" s="5">
        <v>4.3244955582457667</v>
      </c>
      <c r="F21" s="5">
        <v>4.3765370784698554</v>
      </c>
      <c r="G21" s="5">
        <v>5.1448100115620399</v>
      </c>
    </row>
    <row r="22" spans="1:7" ht="20.100000000000001" customHeight="1" x14ac:dyDescent="0.2">
      <c r="A22" s="86"/>
      <c r="B22" s="14" t="s">
        <v>167</v>
      </c>
      <c r="C22" s="9">
        <v>18.291883908388296</v>
      </c>
      <c r="D22" s="9">
        <v>4.7142261410608954</v>
      </c>
      <c r="E22" s="9">
        <v>2.533346051057106</v>
      </c>
      <c r="F22" s="9">
        <v>3.7060317434849166</v>
      </c>
      <c r="G22" s="9">
        <v>4.8938305207806954</v>
      </c>
    </row>
    <row r="23" spans="1:7" ht="20.100000000000001" customHeight="1" x14ac:dyDescent="0.2">
      <c r="A23" s="87"/>
      <c r="B23" s="18" t="s">
        <v>168</v>
      </c>
      <c r="C23" s="15">
        <v>18.791304953505694</v>
      </c>
      <c r="D23" s="15">
        <v>5.575766967226703</v>
      </c>
      <c r="E23" s="15">
        <v>3.2649609307173089</v>
      </c>
      <c r="F23" s="15">
        <v>4.5025870384777011</v>
      </c>
      <c r="G23" s="15">
        <v>6.011712838253902</v>
      </c>
    </row>
    <row r="24" spans="1:7" ht="20.100000000000001" customHeight="1" x14ac:dyDescent="0.2">
      <c r="A24" s="85">
        <v>2007</v>
      </c>
      <c r="B24" s="12" t="s">
        <v>165</v>
      </c>
      <c r="C24" s="13">
        <v>-12.010972520845097</v>
      </c>
      <c r="D24" s="13">
        <v>9.4635716808303627</v>
      </c>
      <c r="E24" s="13">
        <v>6.0265396089241863</v>
      </c>
      <c r="F24" s="13">
        <v>7.703368828883117</v>
      </c>
      <c r="G24" s="13">
        <v>10.329028846780975</v>
      </c>
    </row>
    <row r="25" spans="1:7" ht="20.100000000000001" customHeight="1" x14ac:dyDescent="0.2">
      <c r="A25" s="86"/>
      <c r="B25" s="17" t="s">
        <v>166</v>
      </c>
      <c r="C25" s="5">
        <v>-16.930286491537537</v>
      </c>
      <c r="D25" s="5">
        <v>6.7955051836797287</v>
      </c>
      <c r="E25" s="5">
        <v>5.5414235209658491</v>
      </c>
      <c r="F25" s="5">
        <v>6.0543995767785797</v>
      </c>
      <c r="G25" s="5">
        <v>8.5264819011433133</v>
      </c>
    </row>
    <row r="26" spans="1:7" ht="20.100000000000001" customHeight="1" x14ac:dyDescent="0.2">
      <c r="A26" s="86"/>
      <c r="B26" s="14" t="s">
        <v>167</v>
      </c>
      <c r="C26" s="9">
        <v>-16.215082979330788</v>
      </c>
      <c r="D26" s="9">
        <v>8.4497203632086801</v>
      </c>
      <c r="E26" s="9">
        <v>8.8927943551924358</v>
      </c>
      <c r="F26" s="9">
        <v>8.4916854411575251</v>
      </c>
      <c r="G26" s="9">
        <v>10.741059490113036</v>
      </c>
    </row>
    <row r="27" spans="1:7" ht="20.100000000000001" customHeight="1" x14ac:dyDescent="0.2">
      <c r="A27" s="87"/>
      <c r="B27" s="18" t="s">
        <v>168</v>
      </c>
      <c r="C27" s="15">
        <v>-16.717029422758667</v>
      </c>
      <c r="D27" s="15">
        <v>10.555675213851989</v>
      </c>
      <c r="E27" s="15">
        <v>9.4986750884092253</v>
      </c>
      <c r="F27" s="15">
        <v>9.8005660193414066</v>
      </c>
      <c r="G27" s="15">
        <v>11.64466736763956</v>
      </c>
    </row>
    <row r="28" spans="1:7" ht="20.100000000000001" customHeight="1" x14ac:dyDescent="0.2">
      <c r="A28" s="85">
        <v>2008</v>
      </c>
      <c r="B28" s="12" t="s">
        <v>165</v>
      </c>
      <c r="C28" s="13">
        <v>6.7417984981674728</v>
      </c>
      <c r="D28" s="13">
        <v>12.48583963932357</v>
      </c>
      <c r="E28" s="13">
        <v>9.8281435223293236</v>
      </c>
      <c r="F28" s="13">
        <v>10.978534567857089</v>
      </c>
      <c r="G28" s="13">
        <v>11.859710735684526</v>
      </c>
    </row>
    <row r="29" spans="1:7" ht="20.100000000000001" customHeight="1" x14ac:dyDescent="0.2">
      <c r="A29" s="86"/>
      <c r="B29" s="17" t="s">
        <v>166</v>
      </c>
      <c r="C29" s="5">
        <v>18.596535541269631</v>
      </c>
      <c r="D29" s="5">
        <v>11.635091960246591</v>
      </c>
      <c r="E29" s="5">
        <v>12.194733194159202</v>
      </c>
      <c r="F29" s="5">
        <v>11.957190371244476</v>
      </c>
      <c r="G29" s="5">
        <v>12.777973938424525</v>
      </c>
    </row>
    <row r="30" spans="1:7" ht="20.100000000000001" customHeight="1" x14ac:dyDescent="0.2">
      <c r="A30" s="86"/>
      <c r="B30" s="14" t="s">
        <v>167</v>
      </c>
      <c r="C30" s="9">
        <v>19.586696460333862</v>
      </c>
      <c r="D30" s="9">
        <v>9.5345292371309185</v>
      </c>
      <c r="E30" s="9">
        <v>11.126703106010849</v>
      </c>
      <c r="F30" s="9">
        <v>10.422783068778486</v>
      </c>
      <c r="G30" s="9">
        <v>11.395767117181821</v>
      </c>
    </row>
    <row r="31" spans="1:7" ht="20.100000000000001" customHeight="1" x14ac:dyDescent="0.2">
      <c r="A31" s="87"/>
      <c r="B31" s="18" t="s">
        <v>168</v>
      </c>
      <c r="C31" s="15">
        <v>31.970645230428563</v>
      </c>
      <c r="D31" s="15">
        <v>6.6962531533020675</v>
      </c>
      <c r="E31" s="15">
        <v>9.0512125379693664</v>
      </c>
      <c r="F31" s="15">
        <v>8.0876974988510764</v>
      </c>
      <c r="G31" s="15">
        <v>9.3128395732296809</v>
      </c>
    </row>
    <row r="32" spans="1:7" ht="20.100000000000001" customHeight="1" x14ac:dyDescent="0.2">
      <c r="A32" s="85">
        <v>2009</v>
      </c>
      <c r="B32" s="12" t="s">
        <v>165</v>
      </c>
      <c r="C32" s="13">
        <v>14.164297818569761</v>
      </c>
      <c r="D32" s="13">
        <v>-8.1907827748401001</v>
      </c>
      <c r="E32" s="13">
        <v>3.4205718471625346</v>
      </c>
      <c r="F32" s="13">
        <v>-2.0259853700286157</v>
      </c>
      <c r="G32" s="13">
        <v>7.5137931667601521E-2</v>
      </c>
    </row>
    <row r="33" spans="1:7" ht="20.100000000000001" customHeight="1" x14ac:dyDescent="0.2">
      <c r="A33" s="86"/>
      <c r="B33" s="17" t="s">
        <v>166</v>
      </c>
      <c r="C33" s="5">
        <v>7.0663396616556851</v>
      </c>
      <c r="D33" s="5">
        <v>-7.2554332197808158</v>
      </c>
      <c r="E33" s="5">
        <v>1.0387918012447983</v>
      </c>
      <c r="F33" s="5">
        <v>-2.8673321425270348</v>
      </c>
      <c r="G33" s="5">
        <v>-0.65425396761580323</v>
      </c>
    </row>
    <row r="34" spans="1:7" ht="20.100000000000001" customHeight="1" x14ac:dyDescent="0.2">
      <c r="A34" s="86"/>
      <c r="B34" s="14" t="s">
        <v>167</v>
      </c>
      <c r="C34" s="9">
        <v>7.0212087967691073</v>
      </c>
      <c r="D34" s="9">
        <v>-6.6084841978340192</v>
      </c>
      <c r="E34" s="9">
        <v>-0.96696309348553999</v>
      </c>
      <c r="F34" s="9">
        <v>-3.6005329730979363</v>
      </c>
      <c r="G34" s="9">
        <v>-1.4397283552993079</v>
      </c>
    </row>
    <row r="35" spans="1:7" ht="20.100000000000001" customHeight="1" x14ac:dyDescent="0.2">
      <c r="A35" s="87"/>
      <c r="B35" s="18" t="s">
        <v>168</v>
      </c>
      <c r="C35" s="15">
        <v>-0.23754929169789163</v>
      </c>
      <c r="D35" s="15">
        <v>-5.95001771445689</v>
      </c>
      <c r="E35" s="15">
        <v>-0.40328120843132753</v>
      </c>
      <c r="F35" s="15">
        <v>-3.0598306576869461</v>
      </c>
      <c r="G35" s="15">
        <v>-1.0528462678492501</v>
      </c>
    </row>
    <row r="36" spans="1:7" ht="20.100000000000001" customHeight="1" x14ac:dyDescent="0.2">
      <c r="A36" s="85">
        <v>2010</v>
      </c>
      <c r="B36" s="12" t="s">
        <v>165</v>
      </c>
      <c r="C36" s="13">
        <v>-1.2934843592031231</v>
      </c>
      <c r="D36" s="13">
        <v>5.9608546065636814</v>
      </c>
      <c r="E36" s="13">
        <v>15.135871256519717</v>
      </c>
      <c r="F36" s="13">
        <v>11.096984388306375</v>
      </c>
      <c r="G36" s="13">
        <v>11.944190384843001</v>
      </c>
    </row>
    <row r="37" spans="1:7" ht="20.100000000000001" customHeight="1" x14ac:dyDescent="0.2">
      <c r="A37" s="86"/>
      <c r="B37" s="17" t="s">
        <v>166</v>
      </c>
      <c r="C37" s="5">
        <v>-3.6386858667333044</v>
      </c>
      <c r="D37" s="5">
        <v>5.3852660934007313</v>
      </c>
      <c r="E37" s="5">
        <v>16.239743641027648</v>
      </c>
      <c r="F37" s="5">
        <v>11.319972864067097</v>
      </c>
      <c r="G37" s="5">
        <v>12.488355081698321</v>
      </c>
    </row>
    <row r="38" spans="1:7" ht="20.100000000000001" customHeight="1" x14ac:dyDescent="0.2">
      <c r="A38" s="86"/>
      <c r="B38" s="14" t="s">
        <v>167</v>
      </c>
      <c r="C38" s="9">
        <v>-5.5892396600448198</v>
      </c>
      <c r="D38" s="9">
        <v>2.9224914867241436</v>
      </c>
      <c r="E38" s="9">
        <v>15.921688761420615</v>
      </c>
      <c r="F38" s="9">
        <v>9.8795371574366122</v>
      </c>
      <c r="G38" s="9">
        <v>11.195112329990774</v>
      </c>
    </row>
    <row r="39" spans="1:7" ht="20.100000000000001" customHeight="1" x14ac:dyDescent="0.2">
      <c r="A39" s="87"/>
      <c r="B39" s="18" t="s">
        <v>168</v>
      </c>
      <c r="C39" s="15">
        <v>-9.3443070738228773</v>
      </c>
      <c r="D39" s="15">
        <v>1.8163909433686065</v>
      </c>
      <c r="E39" s="15">
        <v>16.532814344904878</v>
      </c>
      <c r="F39" s="15">
        <v>9.662584520933537</v>
      </c>
      <c r="G39" s="15">
        <v>11.092312842420782</v>
      </c>
    </row>
    <row r="40" spans="1:7" ht="20.100000000000001" customHeight="1" x14ac:dyDescent="0.2">
      <c r="A40" s="85">
        <v>2011</v>
      </c>
      <c r="B40" s="12" t="s">
        <v>165</v>
      </c>
      <c r="C40" s="13">
        <v>-6.6537912861419297</v>
      </c>
      <c r="D40" s="13">
        <v>0.72791968097636328</v>
      </c>
      <c r="E40" s="13">
        <v>3.9118392728316298</v>
      </c>
      <c r="F40" s="13">
        <v>2.4015944621663676</v>
      </c>
      <c r="G40" s="13">
        <v>3.8029532953172129</v>
      </c>
    </row>
    <row r="41" spans="1:7" ht="20.100000000000001" customHeight="1" x14ac:dyDescent="0.2">
      <c r="A41" s="86"/>
      <c r="B41" s="17" t="s">
        <v>166</v>
      </c>
      <c r="C41" s="5">
        <v>-7.8776091388313763</v>
      </c>
      <c r="D41" s="5">
        <v>-1.9935504872197529</v>
      </c>
      <c r="E41" s="5">
        <v>2.8693162127937821</v>
      </c>
      <c r="F41" s="5">
        <v>0.6426387992893634</v>
      </c>
      <c r="G41" s="5">
        <v>1.7039779137359989</v>
      </c>
    </row>
    <row r="42" spans="1:7" ht="20.100000000000001" customHeight="1" x14ac:dyDescent="0.2">
      <c r="A42" s="86"/>
      <c r="B42" s="14" t="s">
        <v>167</v>
      </c>
      <c r="C42" s="9">
        <v>-7.4017901786233793</v>
      </c>
      <c r="D42" s="9">
        <v>-0.98677034196371638</v>
      </c>
      <c r="E42" s="9">
        <v>3.1379799205936587</v>
      </c>
      <c r="F42" s="9">
        <v>1.2596321063568228</v>
      </c>
      <c r="G42" s="9">
        <v>2.1263124965769764</v>
      </c>
    </row>
    <row r="43" spans="1:7" ht="20.100000000000001" customHeight="1" x14ac:dyDescent="0.2">
      <c r="A43" s="87"/>
      <c r="B43" s="18" t="s">
        <v>168</v>
      </c>
      <c r="C43" s="15">
        <v>-3.3191977212198687</v>
      </c>
      <c r="D43" s="15">
        <v>-1.4604691003207937</v>
      </c>
      <c r="E43" s="15">
        <v>2.9914251267912917</v>
      </c>
      <c r="F43" s="15">
        <v>0.97715244450762295</v>
      </c>
      <c r="G43" s="15">
        <v>1.8246923481848087</v>
      </c>
    </row>
    <row r="44" spans="1:7" ht="20.100000000000001" customHeight="1" x14ac:dyDescent="0.2">
      <c r="A44" s="85">
        <v>2012</v>
      </c>
      <c r="B44" s="12" t="s">
        <v>165</v>
      </c>
      <c r="C44" s="13">
        <v>16.589237061831575</v>
      </c>
      <c r="D44" s="13">
        <v>-12.221075877690435</v>
      </c>
      <c r="E44" s="13">
        <v>3.1496238253233999</v>
      </c>
      <c r="F44" s="13">
        <v>-2.9486790066434732</v>
      </c>
      <c r="G44" s="13">
        <v>-0.94933967797782293</v>
      </c>
    </row>
    <row r="45" spans="1:7" ht="20.100000000000001" customHeight="1" x14ac:dyDescent="0.2">
      <c r="A45" s="86"/>
      <c r="B45" s="17" t="s">
        <v>166</v>
      </c>
      <c r="C45" s="5">
        <v>15.123734834040636</v>
      </c>
      <c r="D45" s="5">
        <v>-5.9977023188056533</v>
      </c>
      <c r="E45" s="5">
        <v>3.7468765592445052</v>
      </c>
      <c r="F45" s="5">
        <v>-0.10789756071222234</v>
      </c>
      <c r="G45" s="5">
        <v>1.7645732088374944</v>
      </c>
    </row>
    <row r="46" spans="1:7" ht="20.100000000000001" customHeight="1" x14ac:dyDescent="0.2">
      <c r="A46" s="86"/>
      <c r="B46" s="14" t="s">
        <v>167</v>
      </c>
      <c r="C46" s="9">
        <v>18.653148685596712</v>
      </c>
      <c r="D46" s="9">
        <v>-2.8484286722802676</v>
      </c>
      <c r="E46" s="9">
        <v>3.094681060021931</v>
      </c>
      <c r="F46" s="9">
        <v>0.69448585113249806</v>
      </c>
      <c r="G46" s="9">
        <v>2.3188916724496522</v>
      </c>
    </row>
    <row r="47" spans="1:7" ht="20.100000000000001" customHeight="1" x14ac:dyDescent="0.2">
      <c r="A47" s="87"/>
      <c r="B47" s="18" t="s">
        <v>168</v>
      </c>
      <c r="C47" s="15">
        <v>17.663178008754233</v>
      </c>
      <c r="D47" s="15">
        <v>-0.73468729989066839</v>
      </c>
      <c r="E47" s="15">
        <v>3.609933764856188</v>
      </c>
      <c r="F47" s="15">
        <v>1.9160667559142253</v>
      </c>
      <c r="G47" s="15">
        <v>3.5087243551012115</v>
      </c>
    </row>
    <row r="48" spans="1:7" ht="20.100000000000001" customHeight="1" x14ac:dyDescent="0.2">
      <c r="A48" s="85">
        <v>2013</v>
      </c>
      <c r="B48" s="12" t="s">
        <v>165</v>
      </c>
      <c r="C48" s="13">
        <v>-9.7688580860554985</v>
      </c>
      <c r="D48" s="13">
        <v>3.0183072830459734</v>
      </c>
      <c r="E48" s="13">
        <v>1.4320920314453423</v>
      </c>
      <c r="F48" s="13">
        <v>2.1603777234881827</v>
      </c>
      <c r="G48" s="13">
        <v>3.5483226755879338</v>
      </c>
    </row>
    <row r="49" spans="1:7" ht="20.100000000000001" customHeight="1" x14ac:dyDescent="0.2">
      <c r="A49" s="86"/>
      <c r="B49" s="17" t="s">
        <v>166</v>
      </c>
      <c r="C49" s="5">
        <v>-6.0727263282774775</v>
      </c>
      <c r="D49" s="5">
        <v>3.9328287190221634</v>
      </c>
      <c r="E49" s="5">
        <v>0.99252942595371429</v>
      </c>
      <c r="F49" s="5">
        <v>2.1462107584610424</v>
      </c>
      <c r="G49" s="5">
        <v>2.7798407162171745</v>
      </c>
    </row>
    <row r="50" spans="1:7" ht="20.100000000000001" customHeight="1" x14ac:dyDescent="0.2">
      <c r="A50" s="86"/>
      <c r="B50" s="14" t="s">
        <v>167</v>
      </c>
      <c r="C50" s="9">
        <v>-7.2157641665201666</v>
      </c>
      <c r="D50" s="9">
        <v>2.5525414318964268</v>
      </c>
      <c r="E50" s="9">
        <v>2.1073033864120738</v>
      </c>
      <c r="F50" s="9">
        <v>2.230495807659727</v>
      </c>
      <c r="G50" s="9">
        <v>2.8337076534586281</v>
      </c>
    </row>
    <row r="51" spans="1:7" ht="20.100000000000001" customHeight="1" x14ac:dyDescent="0.2">
      <c r="A51" s="87"/>
      <c r="B51" s="18" t="s">
        <v>168</v>
      </c>
      <c r="C51" s="15">
        <v>-6.4731866866373551</v>
      </c>
      <c r="D51" s="15">
        <v>2.1716072450691959</v>
      </c>
      <c r="E51" s="15">
        <v>0.94526541860733282</v>
      </c>
      <c r="F51" s="15">
        <v>1.3708033329281832</v>
      </c>
      <c r="G51" s="15">
        <v>1.8210988272664208</v>
      </c>
    </row>
    <row r="52" spans="1:7" ht="20.100000000000001" customHeight="1" x14ac:dyDescent="0.2">
      <c r="A52" s="85">
        <v>2014</v>
      </c>
      <c r="B52" s="12" t="s">
        <v>165</v>
      </c>
      <c r="C52" s="13">
        <v>-6.4809354032421833</v>
      </c>
      <c r="D52" s="13">
        <v>11.753390173256006</v>
      </c>
      <c r="E52" s="13">
        <v>1.5301961481587689</v>
      </c>
      <c r="F52" s="13">
        <v>5.1358917971435769</v>
      </c>
      <c r="G52" s="13">
        <v>4.6279130912249888</v>
      </c>
    </row>
    <row r="53" spans="1:7" ht="20.100000000000001" customHeight="1" x14ac:dyDescent="0.2">
      <c r="A53" s="86"/>
      <c r="B53" s="17" t="s">
        <v>166</v>
      </c>
      <c r="C53" s="5">
        <v>-2.409998273921643</v>
      </c>
      <c r="D53" s="5">
        <v>8.4829330193796348</v>
      </c>
      <c r="E53" s="5">
        <v>0.24235988603242831</v>
      </c>
      <c r="F53" s="5">
        <v>3.2141931063300877</v>
      </c>
      <c r="G53" s="5">
        <v>2.7167064571062438</v>
      </c>
    </row>
    <row r="54" spans="1:7" ht="20.100000000000001" customHeight="1" x14ac:dyDescent="0.2">
      <c r="A54" s="86"/>
      <c r="B54" s="14" t="s">
        <v>167</v>
      </c>
      <c r="C54" s="9">
        <v>-4.4353166161725799E-2</v>
      </c>
      <c r="D54" s="9">
        <v>5.3211557402776721</v>
      </c>
      <c r="E54" s="9">
        <v>-1.7075287097384928</v>
      </c>
      <c r="F54" s="9">
        <v>0.85025540816281442</v>
      </c>
      <c r="G54" s="9">
        <v>0.42333568132797428</v>
      </c>
    </row>
    <row r="55" spans="1:7" ht="20.100000000000001" customHeight="1" x14ac:dyDescent="0.2">
      <c r="A55" s="87"/>
      <c r="B55" s="18" t="s">
        <v>168</v>
      </c>
      <c r="C55" s="15">
        <v>-3.012450864174665</v>
      </c>
      <c r="D55" s="15">
        <v>6.4373069596427301</v>
      </c>
      <c r="E55" s="15">
        <v>-2.619632903353375</v>
      </c>
      <c r="F55" s="15">
        <v>0.66135997177971806</v>
      </c>
      <c r="G55" s="15">
        <v>0.13827599102156363</v>
      </c>
    </row>
    <row r="56" spans="1:7" ht="20.100000000000001" customHeight="1" x14ac:dyDescent="0.2">
      <c r="A56" s="85">
        <v>2015</v>
      </c>
      <c r="B56" s="12" t="s">
        <v>165</v>
      </c>
      <c r="C56" s="13">
        <v>16.937920317453205</v>
      </c>
      <c r="D56" s="13">
        <v>8.0514930582195721</v>
      </c>
      <c r="E56" s="13">
        <v>-7.2477453413124397</v>
      </c>
      <c r="F56" s="13">
        <v>-1.6995302433993498</v>
      </c>
      <c r="G56" s="13">
        <v>-2.582415461250176</v>
      </c>
    </row>
    <row r="57" spans="1:7" ht="20.100000000000001" customHeight="1" x14ac:dyDescent="0.2">
      <c r="A57" s="86"/>
      <c r="B57" s="17" t="s">
        <v>166</v>
      </c>
      <c r="C57" s="5">
        <v>20.001491796925009</v>
      </c>
      <c r="D57" s="5">
        <v>3.9370885762852526</v>
      </c>
      <c r="E57" s="5">
        <v>-6.3478442509700255</v>
      </c>
      <c r="F57" s="5">
        <v>-2.4253726527934449</v>
      </c>
      <c r="G57" s="5">
        <v>-3.0864630488135814</v>
      </c>
    </row>
    <row r="58" spans="1:7" ht="20.100000000000001" customHeight="1" x14ac:dyDescent="0.2">
      <c r="A58" s="86"/>
      <c r="B58" s="14" t="s">
        <v>167</v>
      </c>
      <c r="C58" s="9">
        <v>16.562877764225604</v>
      </c>
      <c r="D58" s="9">
        <v>5.0502590442408346</v>
      </c>
      <c r="E58" s="9">
        <v>-5.2482005760911221</v>
      </c>
      <c r="F58" s="9">
        <v>-1.2820498247538059</v>
      </c>
      <c r="G58" s="9">
        <v>-1.8949824073801413</v>
      </c>
    </row>
    <row r="59" spans="1:7" ht="20.100000000000001" customHeight="1" x14ac:dyDescent="0.2">
      <c r="A59" s="87"/>
      <c r="B59" s="18" t="s">
        <v>168</v>
      </c>
      <c r="C59" s="15">
        <v>12.056963003435307</v>
      </c>
      <c r="D59" s="15">
        <v>4.0311189738969855</v>
      </c>
      <c r="E59" s="15">
        <v>-4.6292944799349307</v>
      </c>
      <c r="F59" s="15">
        <v>-1.2533352900467976</v>
      </c>
      <c r="G59" s="15">
        <v>-1.6499476283741932</v>
      </c>
    </row>
    <row r="60" spans="1:7" ht="20.100000000000001" customHeight="1" x14ac:dyDescent="0.2">
      <c r="A60" s="85">
        <v>2016</v>
      </c>
      <c r="B60" s="12" t="s">
        <v>165</v>
      </c>
      <c r="C60" s="13">
        <v>8.2245601022001402</v>
      </c>
      <c r="D60" s="13">
        <v>-2.8004121570256779</v>
      </c>
      <c r="E60" s="13">
        <v>-5.4611617312033793</v>
      </c>
      <c r="F60" s="13">
        <v>-4.3038734898340314</v>
      </c>
      <c r="G60" s="13">
        <v>-4.7173297142884874</v>
      </c>
    </row>
    <row r="61" spans="1:7" ht="20.100000000000001" customHeight="1" x14ac:dyDescent="0.2">
      <c r="A61" s="86"/>
      <c r="B61" s="17" t="s">
        <v>166</v>
      </c>
      <c r="C61" s="5">
        <v>7.8175027686394616</v>
      </c>
      <c r="D61" s="5">
        <v>-2.8107294748620837</v>
      </c>
      <c r="E61" s="5">
        <v>-6.0079179554312852</v>
      </c>
      <c r="F61" s="5">
        <v>-4.681718538218349</v>
      </c>
      <c r="G61" s="5">
        <v>-5.1891809302994307</v>
      </c>
    </row>
    <row r="62" spans="1:7" ht="20.100000000000001" customHeight="1" x14ac:dyDescent="0.2">
      <c r="A62" s="86"/>
      <c r="B62" s="14" t="s">
        <v>167</v>
      </c>
      <c r="C62" s="9">
        <v>3.7055117745517396</v>
      </c>
      <c r="D62" s="9">
        <v>-1.838975378434482</v>
      </c>
      <c r="E62" s="9">
        <v>-5.3355311544276418</v>
      </c>
      <c r="F62" s="9">
        <v>-3.965981256287654</v>
      </c>
      <c r="G62" s="9">
        <v>-4.6374739897167672</v>
      </c>
    </row>
    <row r="63" spans="1:7" ht="20.100000000000001" customHeight="1" x14ac:dyDescent="0.2">
      <c r="A63" s="87"/>
      <c r="B63" s="18" t="s">
        <v>168</v>
      </c>
      <c r="C63" s="15">
        <v>2.2952009778552718</v>
      </c>
      <c r="D63" s="15">
        <v>-3.0167598070895973</v>
      </c>
      <c r="E63" s="15">
        <v>-4.0807909320306539</v>
      </c>
      <c r="F63" s="15">
        <v>-3.6520404660587036</v>
      </c>
      <c r="G63" s="15">
        <v>-4.5275415517823658</v>
      </c>
    </row>
    <row r="64" spans="1:7" ht="20.100000000000001" customHeight="1" x14ac:dyDescent="0.2">
      <c r="A64" s="85">
        <v>2017</v>
      </c>
      <c r="B64" s="12" t="s">
        <v>165</v>
      </c>
      <c r="C64" s="13">
        <v>-12.718140219419382</v>
      </c>
      <c r="D64" s="13">
        <v>-6.5052587941461297</v>
      </c>
      <c r="E64" s="13">
        <v>3.4480500110744217</v>
      </c>
      <c r="F64" s="13">
        <v>-0.69041473642353912</v>
      </c>
      <c r="G64" s="13">
        <v>-0.83043813010759138</v>
      </c>
    </row>
    <row r="65" spans="1:7" ht="20.100000000000001" customHeight="1" x14ac:dyDescent="0.2">
      <c r="A65" s="86"/>
      <c r="B65" s="17" t="s">
        <v>166</v>
      </c>
      <c r="C65" s="5">
        <v>-16.046499305722982</v>
      </c>
      <c r="D65" s="5">
        <v>-4.8418483399854662</v>
      </c>
      <c r="E65" s="5">
        <v>4.1070062711471511</v>
      </c>
      <c r="F65" s="5">
        <v>0.35183093656856457</v>
      </c>
      <c r="G65" s="5">
        <v>0.29421027284806112</v>
      </c>
    </row>
    <row r="66" spans="1:7" ht="20.100000000000001" customHeight="1" x14ac:dyDescent="0.2">
      <c r="A66" s="86"/>
      <c r="B66" s="14" t="s">
        <v>167</v>
      </c>
      <c r="C66" s="9">
        <v>-13.795826855823201</v>
      </c>
      <c r="D66" s="9">
        <v>-2.2565461468931902</v>
      </c>
      <c r="E66" s="9">
        <v>4.3141086556049091</v>
      </c>
      <c r="F66" s="9">
        <v>1.569034529579616</v>
      </c>
      <c r="G66" s="9">
        <v>1.5209856843828362</v>
      </c>
    </row>
    <row r="67" spans="1:7" ht="20.100000000000001" customHeight="1" x14ac:dyDescent="0.2">
      <c r="A67" s="87"/>
      <c r="B67" s="18" t="s">
        <v>168</v>
      </c>
      <c r="C67" s="15">
        <v>-8.8657229827597934</v>
      </c>
      <c r="D67" s="15">
        <v>-1.1893314708809721</v>
      </c>
      <c r="E67" s="15">
        <v>3.8179564271113575</v>
      </c>
      <c r="F67" s="15">
        <v>1.7239994692572758</v>
      </c>
      <c r="G67" s="15">
        <v>1.9201047935084592</v>
      </c>
    </row>
    <row r="68" spans="1:7" ht="20.100000000000001" customHeight="1" x14ac:dyDescent="0.2">
      <c r="A68" s="85">
        <v>2018</v>
      </c>
      <c r="B68" s="12" t="s">
        <v>165</v>
      </c>
      <c r="C68" s="13">
        <v>-15.70075740939032</v>
      </c>
      <c r="D68" s="13">
        <v>3.6769234180733745</v>
      </c>
      <c r="E68" s="13">
        <v>3.837764810752442</v>
      </c>
      <c r="F68" s="13">
        <v>3.685360487572753</v>
      </c>
      <c r="G68" s="13">
        <v>3.7060201225896039</v>
      </c>
    </row>
    <row r="69" spans="1:7" ht="20.100000000000001" customHeight="1" x14ac:dyDescent="0.2">
      <c r="A69" s="86"/>
      <c r="B69" s="17" t="s">
        <v>166</v>
      </c>
      <c r="C69" s="5">
        <v>-13.930622392822956</v>
      </c>
      <c r="D69" s="5">
        <v>6.0779226952495158</v>
      </c>
      <c r="E69" s="5">
        <v>3.08583078249689</v>
      </c>
      <c r="F69" s="5">
        <v>4.1421505984615026</v>
      </c>
      <c r="G69" s="5">
        <v>4.138591412344006</v>
      </c>
    </row>
    <row r="70" spans="1:7" ht="20.100000000000001" customHeight="1" x14ac:dyDescent="0.2">
      <c r="A70" s="86"/>
      <c r="B70" s="14" t="s">
        <v>167</v>
      </c>
      <c r="C70" s="9">
        <v>-8.5456746242284822</v>
      </c>
      <c r="D70" s="9">
        <v>3.5721159687573056</v>
      </c>
      <c r="E70" s="9">
        <v>3.9855724345132071</v>
      </c>
      <c r="F70" s="9">
        <v>3.7670982490139782</v>
      </c>
      <c r="G70" s="9">
        <v>3.9980228372820559</v>
      </c>
    </row>
    <row r="71" spans="1:7" ht="20.100000000000001" customHeight="1" x14ac:dyDescent="0.2">
      <c r="A71" s="87"/>
      <c r="B71" s="18" t="s">
        <v>168</v>
      </c>
      <c r="C71" s="15">
        <v>-10.261182007143677</v>
      </c>
      <c r="D71" s="15">
        <v>2.6112814700541387</v>
      </c>
      <c r="E71" s="15">
        <v>4.6496608999956113</v>
      </c>
      <c r="F71" s="15">
        <v>3.7808692135200994</v>
      </c>
      <c r="G71" s="15">
        <v>4.0495328132339914</v>
      </c>
    </row>
    <row r="72" spans="1:7" ht="20.100000000000001" customHeight="1" x14ac:dyDescent="0.2">
      <c r="A72" s="85">
        <v>2019</v>
      </c>
      <c r="B72" s="12" t="s">
        <v>165</v>
      </c>
      <c r="C72" s="13">
        <v>-4.7174558827097091</v>
      </c>
      <c r="D72" s="13">
        <v>-0.51525745484711782</v>
      </c>
      <c r="E72" s="13">
        <v>2.8583644300455679</v>
      </c>
      <c r="F72" s="13">
        <v>1.3681849675871049</v>
      </c>
      <c r="G72" s="13">
        <v>1.5969107951247619</v>
      </c>
    </row>
    <row r="73" spans="1:7" ht="20.100000000000001" customHeight="1" x14ac:dyDescent="0.2">
      <c r="A73" s="86"/>
      <c r="B73" s="17" t="s">
        <v>166</v>
      </c>
      <c r="C73" s="5">
        <v>-3.661820643180802</v>
      </c>
      <c r="D73" s="5">
        <v>-1.5694924432879009</v>
      </c>
      <c r="E73" s="5">
        <v>2.8126092695682336</v>
      </c>
      <c r="F73" s="5">
        <v>0.98461589559843965</v>
      </c>
      <c r="G73" s="5">
        <v>1.5456611926785158</v>
      </c>
    </row>
    <row r="74" spans="1:7" ht="20.100000000000001" customHeight="1" x14ac:dyDescent="0.2">
      <c r="A74" s="86"/>
      <c r="B74" s="14" t="s">
        <v>167</v>
      </c>
      <c r="C74" s="9">
        <v>-6.868771586128064</v>
      </c>
      <c r="D74" s="9">
        <v>-2.7384715611016408</v>
      </c>
      <c r="E74" s="9">
        <v>1.5148772127622667</v>
      </c>
      <c r="F74" s="9">
        <v>-0.24623212913335024</v>
      </c>
      <c r="G74" s="9">
        <v>0.40522570152643489</v>
      </c>
    </row>
    <row r="75" spans="1:7" ht="20.100000000000001" customHeight="1" x14ac:dyDescent="0.2">
      <c r="A75" s="87"/>
      <c r="B75" s="18" t="s">
        <v>168</v>
      </c>
      <c r="C75" s="15">
        <v>-5.3581985217610821</v>
      </c>
      <c r="D75" s="15">
        <v>-3.7726240634500474</v>
      </c>
      <c r="E75" s="15">
        <v>0.74626696066109055</v>
      </c>
      <c r="F75" s="15">
        <v>-1.1248412365331473</v>
      </c>
      <c r="G75" s="15">
        <v>-0.56417200203947582</v>
      </c>
    </row>
    <row r="76" spans="1:7" ht="20.100000000000001" customHeight="1" x14ac:dyDescent="0.2">
      <c r="A76" s="85">
        <v>2020</v>
      </c>
      <c r="B76" s="12" t="s">
        <v>165</v>
      </c>
      <c r="C76" s="13">
        <v>18.042740295165615</v>
      </c>
      <c r="D76" s="13">
        <v>-4.9978686912936388</v>
      </c>
      <c r="E76" s="13">
        <v>1.8201399632885806</v>
      </c>
      <c r="F76" s="13">
        <v>-0.86304439938682531</v>
      </c>
      <c r="G76" s="13">
        <v>-0.27112931296026099</v>
      </c>
    </row>
    <row r="77" spans="1:7" ht="20.100000000000001" customHeight="1" x14ac:dyDescent="0.2">
      <c r="A77" s="86"/>
      <c r="B77" s="17" t="s">
        <v>166</v>
      </c>
      <c r="C77" s="5">
        <v>16.974197164289116</v>
      </c>
      <c r="D77" s="5">
        <v>-14.693390066899692</v>
      </c>
      <c r="E77" s="5">
        <v>-2.3203587409685866</v>
      </c>
      <c r="F77" s="5">
        <v>-7.2786372167964686</v>
      </c>
      <c r="G77" s="5">
        <v>-7.0710831643806538</v>
      </c>
    </row>
    <row r="78" spans="1:7" ht="20.100000000000001" customHeight="1" x14ac:dyDescent="0.2">
      <c r="A78" s="86"/>
      <c r="B78" s="14" t="s">
        <v>167</v>
      </c>
      <c r="C78" s="9">
        <v>12.408671653356906</v>
      </c>
      <c r="D78" s="9">
        <v>-14.188206524527269</v>
      </c>
      <c r="E78" s="9">
        <v>-1.7448334066194393</v>
      </c>
      <c r="F78" s="9">
        <v>-6.8023454826926173</v>
      </c>
      <c r="G78" s="9">
        <v>-6.2344461538390572</v>
      </c>
    </row>
    <row r="79" spans="1:7" ht="20.100000000000001" customHeight="1" x14ac:dyDescent="0.2">
      <c r="A79" s="87"/>
      <c r="B79" s="18" t="s">
        <v>168</v>
      </c>
      <c r="C79" s="15">
        <v>10.009519366854679</v>
      </c>
      <c r="D79" s="15">
        <v>-11.63468254249549</v>
      </c>
      <c r="E79" s="15">
        <v>-1.1655531468200864</v>
      </c>
      <c r="F79" s="15">
        <v>-5.3960468160098589</v>
      </c>
      <c r="G79" s="15">
        <v>-4.8986726711907735</v>
      </c>
    </row>
    <row r="80" spans="1:7" ht="20.100000000000001" customHeight="1" x14ac:dyDescent="0.2">
      <c r="A80" s="85">
        <v>2021</v>
      </c>
      <c r="B80" s="12" t="s">
        <v>165</v>
      </c>
      <c r="C80" s="13">
        <v>-8.7067594305910383</v>
      </c>
      <c r="D80" s="13">
        <v>-0.60559689285620832</v>
      </c>
      <c r="E80" s="13">
        <v>4.5062496163098098</v>
      </c>
      <c r="F80" s="13">
        <v>2.5440913266354226</v>
      </c>
      <c r="G80" s="13">
        <v>2.7743319967298063</v>
      </c>
    </row>
    <row r="81" spans="1:7" ht="20.100000000000001" customHeight="1" x14ac:dyDescent="0.2">
      <c r="A81" s="86"/>
      <c r="B81" s="17" t="s">
        <v>166</v>
      </c>
      <c r="C81" s="5">
        <v>-11.771059493575731</v>
      </c>
      <c r="D81" s="5">
        <v>6.283180980392733</v>
      </c>
      <c r="E81" s="5">
        <v>10.024219789737533</v>
      </c>
      <c r="F81" s="5">
        <v>8.5523572729024</v>
      </c>
      <c r="G81" s="5">
        <v>9.0741684674726422</v>
      </c>
    </row>
    <row r="82" spans="1:7" ht="20.100000000000001" customHeight="1" x14ac:dyDescent="0.2">
      <c r="A82" s="86"/>
      <c r="B82" s="14" t="s">
        <v>167</v>
      </c>
      <c r="C82" s="9">
        <v>-11.406021073074047</v>
      </c>
      <c r="D82" s="9">
        <v>4.146805223886818</v>
      </c>
      <c r="E82" s="9">
        <v>9.2214635158286882</v>
      </c>
      <c r="F82" s="9">
        <v>7.2208179643133308</v>
      </c>
      <c r="G82" s="9">
        <v>7.0581693086626096</v>
      </c>
    </row>
    <row r="83" spans="1:7" ht="20.100000000000001" customHeight="1" x14ac:dyDescent="0.2">
      <c r="A83" s="87"/>
      <c r="B83" s="18" t="s">
        <v>168</v>
      </c>
      <c r="C83" s="15">
        <v>-10.880825467945332</v>
      </c>
      <c r="D83" s="15">
        <v>0.66541491166485223</v>
      </c>
      <c r="E83" s="15">
        <v>8.7422605105224918</v>
      </c>
      <c r="F83" s="15">
        <v>5.6028229216308789</v>
      </c>
      <c r="G83" s="15">
        <v>5.2621135530505292</v>
      </c>
    </row>
    <row r="84" spans="1:7" ht="20.100000000000001" customHeight="1" x14ac:dyDescent="0.2">
      <c r="A84" s="85">
        <v>2022</v>
      </c>
      <c r="B84" s="12" t="s">
        <v>165</v>
      </c>
      <c r="C84" s="13">
        <v>24.156733159001998</v>
      </c>
      <c r="D84" s="13">
        <v>-5.3521847415720858</v>
      </c>
      <c r="E84" s="13">
        <v>3.9327108431352675</v>
      </c>
      <c r="F84" s="13">
        <v>-4.4267671598663405E-2</v>
      </c>
      <c r="G84" s="13">
        <v>-0.62737932796919083</v>
      </c>
    </row>
    <row r="85" spans="1:7" ht="20.100000000000001" customHeight="1" x14ac:dyDescent="0.2">
      <c r="A85" s="86"/>
      <c r="B85" s="17" t="s">
        <v>166</v>
      </c>
      <c r="C85" s="5">
        <v>21.89032216461133</v>
      </c>
      <c r="D85" s="5">
        <v>-4.7421250243765538</v>
      </c>
      <c r="E85" s="5">
        <v>3.4511434911010719</v>
      </c>
      <c r="F85" s="5">
        <v>-4.6353067684934413E-2</v>
      </c>
      <c r="G85" s="5">
        <v>-0.51451966204610899</v>
      </c>
    </row>
    <row r="86" spans="1:7" ht="20.100000000000001" customHeight="1" x14ac:dyDescent="0.2">
      <c r="A86" s="86"/>
      <c r="B86" s="14" t="s">
        <v>167</v>
      </c>
      <c r="C86" s="9">
        <v>20.335079133585943</v>
      </c>
      <c r="D86" s="9">
        <v>-2.6341246613596825</v>
      </c>
      <c r="E86" s="9">
        <v>4.6199162769054558</v>
      </c>
      <c r="F86" s="9">
        <v>1.6105052647765294</v>
      </c>
      <c r="G86" s="9">
        <v>1.2328886391355987</v>
      </c>
    </row>
    <row r="87" spans="1:7" ht="20.100000000000001" customHeight="1" x14ac:dyDescent="0.2">
      <c r="A87" s="87"/>
      <c r="B87" s="18" t="s">
        <v>168</v>
      </c>
      <c r="C87" s="15">
        <v>21.94688105679019</v>
      </c>
      <c r="D87" s="15">
        <v>-1.5643948749343162</v>
      </c>
      <c r="E87" s="15">
        <v>4.4970952578931245</v>
      </c>
      <c r="F87" s="15">
        <v>1.8700656747634881</v>
      </c>
      <c r="G87" s="15">
        <v>1.4036088029520277</v>
      </c>
    </row>
    <row r="88" spans="1:7" ht="20.100000000000001" customHeight="1" x14ac:dyDescent="0.2">
      <c r="A88" s="85">
        <v>2023</v>
      </c>
      <c r="B88" s="12" t="s">
        <v>165</v>
      </c>
      <c r="C88" s="13">
        <v>-17.978387476205437</v>
      </c>
      <c r="D88" s="13">
        <v>-5.748168189275404</v>
      </c>
      <c r="E88" s="13">
        <v>0.91389373019488129</v>
      </c>
      <c r="F88" s="13">
        <v>-2.5358539987783812</v>
      </c>
      <c r="G88" s="13">
        <v>-2.6040690195765048</v>
      </c>
    </row>
    <row r="89" spans="1:7" ht="20.100000000000001" customHeight="1" x14ac:dyDescent="0.2">
      <c r="A89" s="86"/>
      <c r="B89" s="17" t="s">
        <v>166</v>
      </c>
      <c r="C89" s="5">
        <v>-14.825157288794077</v>
      </c>
      <c r="D89" s="5">
        <v>-2.91833489855714</v>
      </c>
      <c r="E89" s="5">
        <v>1.3747475930481201E-2</v>
      </c>
      <c r="F89" s="5">
        <v>-1.560762894547485</v>
      </c>
      <c r="G89" s="5">
        <v>-1.7609790081877796</v>
      </c>
    </row>
    <row r="90" spans="1:7" ht="20.100000000000001" customHeight="1" x14ac:dyDescent="0.2">
      <c r="A90" s="86"/>
      <c r="B90" s="14" t="s">
        <v>167</v>
      </c>
      <c r="C90" s="9">
        <v>-16.533652339929017</v>
      </c>
      <c r="D90" s="9">
        <v>-2.5063753440488501</v>
      </c>
      <c r="E90" s="9">
        <v>-0.63887379887304085</v>
      </c>
      <c r="F90" s="9">
        <v>-1.569977331543726</v>
      </c>
      <c r="G90" s="9">
        <v>-1.9159876823065969</v>
      </c>
    </row>
    <row r="91" spans="1:7" ht="20.100000000000001" customHeight="1" x14ac:dyDescent="0.2">
      <c r="A91" s="87"/>
      <c r="B91" s="18" t="s">
        <v>168</v>
      </c>
      <c r="C91" s="15">
        <v>-15.660255756493747</v>
      </c>
      <c r="D91" s="15">
        <v>-2.0540682763091511</v>
      </c>
      <c r="E91" s="15">
        <v>-1.2079640987598506</v>
      </c>
      <c r="F91" s="15">
        <v>-1.6788161715188932</v>
      </c>
      <c r="G91" s="15">
        <v>-1.8554305006581284</v>
      </c>
    </row>
    <row r="92" spans="1:7" ht="20.100000000000001" customHeight="1" x14ac:dyDescent="0.2">
      <c r="A92" s="85">
        <v>2024</v>
      </c>
      <c r="B92" s="12" t="s">
        <v>165</v>
      </c>
      <c r="C92" s="13">
        <v>57.752431327962547</v>
      </c>
      <c r="D92" s="13">
        <v>-3.4750223148499848</v>
      </c>
      <c r="E92" s="13">
        <v>0.28243089109061259</v>
      </c>
      <c r="F92" s="13">
        <v>-0.69079099484944395</v>
      </c>
      <c r="G92" s="13">
        <v>-0.44888797027016203</v>
      </c>
    </row>
    <row r="93" spans="1:7" ht="20.100000000000001" customHeight="1" x14ac:dyDescent="0.2">
      <c r="A93" s="86"/>
      <c r="B93" s="17" t="s">
        <v>166</v>
      </c>
      <c r="C93" s="5">
        <v>46.661947507562139</v>
      </c>
      <c r="D93" s="5">
        <v>-1.3969502321686811</v>
      </c>
      <c r="E93" s="5">
        <v>1.3971496834457531</v>
      </c>
      <c r="F93" s="5">
        <v>0.52134612071981223</v>
      </c>
      <c r="G93" s="5">
        <v>0.65367324910148294</v>
      </c>
    </row>
    <row r="94" spans="1:7" ht="20.100000000000001" customHeight="1" x14ac:dyDescent="0.2">
      <c r="A94" s="86"/>
      <c r="B94" s="14" t="s">
        <v>167</v>
      </c>
      <c r="C94" s="9">
        <v>44.668144666793161</v>
      </c>
      <c r="D94" s="9">
        <v>-1.9646407484279815</v>
      </c>
      <c r="E94" s="9">
        <v>1.0235087177845603</v>
      </c>
      <c r="F94" s="9">
        <v>-0.13833085499321829</v>
      </c>
      <c r="G94" s="9">
        <v>0.17510719894764382</v>
      </c>
    </row>
    <row r="95" spans="1:7" ht="20.100000000000001" customHeight="1" x14ac:dyDescent="0.2">
      <c r="A95" s="87"/>
      <c r="B95" s="18" t="s">
        <v>168</v>
      </c>
      <c r="C95" s="15">
        <v>45.867144259707594</v>
      </c>
      <c r="D95" s="15">
        <v>-3.2263212459789137</v>
      </c>
      <c r="E95" s="15">
        <v>0.77621492535029368</v>
      </c>
      <c r="F95" s="15">
        <v>-0.83247428054153971</v>
      </c>
      <c r="G95" s="15">
        <v>-0.48785741429561158</v>
      </c>
    </row>
    <row r="96" spans="1:7" ht="20.100000000000001" customHeight="1" x14ac:dyDescent="0.25">
      <c r="A96" s="27" t="s">
        <v>164</v>
      </c>
      <c r="B96" s="21"/>
      <c r="C96" s="21"/>
      <c r="D96" s="21"/>
      <c r="E96" s="21"/>
      <c r="F96" s="21"/>
      <c r="G96" s="21"/>
    </row>
    <row r="97" spans="1:1" ht="20.100000000000001" customHeight="1" x14ac:dyDescent="0.25">
      <c r="A97" s="20" t="s">
        <v>50</v>
      </c>
    </row>
    <row r="98" spans="1:1" ht="20.100000000000001" customHeight="1" x14ac:dyDescent="0.2"/>
    <row r="99" spans="1:1" ht="20.100000000000001" customHeight="1" x14ac:dyDescent="0.2"/>
    <row r="100" spans="1:1" ht="20.100000000000001" customHeight="1" x14ac:dyDescent="0.2"/>
  </sheetData>
  <mergeCells count="26">
    <mergeCell ref="A92:A95"/>
    <mergeCell ref="A72:A75"/>
    <mergeCell ref="A76:A79"/>
    <mergeCell ref="A80:A83"/>
    <mergeCell ref="A84:A87"/>
    <mergeCell ref="A88:A91"/>
    <mergeCell ref="A5:G5"/>
    <mergeCell ref="A6:B7"/>
    <mergeCell ref="C6:F6"/>
    <mergeCell ref="G6:G7"/>
    <mergeCell ref="A8:A11"/>
    <mergeCell ref="A52:A55"/>
    <mergeCell ref="A56:A59"/>
    <mergeCell ref="A60:A63"/>
    <mergeCell ref="A64:A67"/>
    <mergeCell ref="A68:A71"/>
    <mergeCell ref="A12:A15"/>
    <mergeCell ref="A32:A35"/>
    <mergeCell ref="A40:A43"/>
    <mergeCell ref="A44:A47"/>
    <mergeCell ref="A48:A51"/>
    <mergeCell ref="A16:A19"/>
    <mergeCell ref="A20:A23"/>
    <mergeCell ref="A24:A27"/>
    <mergeCell ref="A28:A31"/>
    <mergeCell ref="A36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Plan129"/>
  <dimension ref="A1:O97"/>
  <sheetViews>
    <sheetView showGridLines="0" workbookViewId="0">
      <pane ySplit="7" topLeftCell="A74" activePane="bottomLeft" state="frozen"/>
      <selection activeCell="A105" sqref="A105:XFD296"/>
      <selection pane="bottomLeft" activeCell="G93" sqref="G93"/>
    </sheetView>
  </sheetViews>
  <sheetFormatPr defaultColWidth="8.796875" defaultRowHeight="14.25" x14ac:dyDescent="0.2"/>
  <cols>
    <col min="1" max="2" width="8.796875" style="20"/>
    <col min="3" max="7" width="15.19921875" style="20" customWidth="1"/>
    <col min="8" max="16384" width="8.796875" style="20"/>
  </cols>
  <sheetData>
    <row r="1" spans="1:15" s="19" customFormat="1" ht="20.100000000000001" customHeight="1" x14ac:dyDescent="0.25">
      <c r="A1" s="19" t="s">
        <v>179</v>
      </c>
      <c r="H1" s="23"/>
    </row>
    <row r="2" spans="1:15" s="19" customFormat="1" ht="20.100000000000001" customHeight="1" x14ac:dyDescent="0.25">
      <c r="A2" s="19" t="s">
        <v>11</v>
      </c>
    </row>
    <row r="3" spans="1:15" s="19" customFormat="1" ht="20.100000000000001" customHeight="1" x14ac:dyDescent="0.25">
      <c r="A3" s="19" t="s">
        <v>13</v>
      </c>
      <c r="H3" s="23"/>
    </row>
    <row r="4" spans="1:15" s="19" customFormat="1" ht="20.100000000000001" customHeight="1" x14ac:dyDescent="0.25">
      <c r="A4" s="19" t="s">
        <v>175</v>
      </c>
      <c r="H4" s="23"/>
    </row>
    <row r="5" spans="1:15" ht="20.100000000000001" customHeight="1" x14ac:dyDescent="0.2">
      <c r="A5" s="88" t="s">
        <v>49</v>
      </c>
      <c r="B5" s="88"/>
      <c r="C5" s="88"/>
      <c r="D5" s="88"/>
      <c r="E5" s="88"/>
      <c r="F5" s="88"/>
      <c r="G5" s="88"/>
    </row>
    <row r="6" spans="1:15" ht="20.100000000000001" customHeight="1" x14ac:dyDescent="0.2">
      <c r="A6" s="89" t="s">
        <v>66</v>
      </c>
      <c r="B6" s="90"/>
      <c r="C6" s="93" t="s">
        <v>17</v>
      </c>
      <c r="D6" s="94"/>
      <c r="E6" s="94"/>
      <c r="F6" s="95"/>
      <c r="G6" s="96" t="s">
        <v>18</v>
      </c>
    </row>
    <row r="7" spans="1:15" ht="20.100000000000001" customHeight="1" x14ac:dyDescent="0.2">
      <c r="A7" s="91"/>
      <c r="B7" s="92"/>
      <c r="C7" s="11" t="s">
        <v>19</v>
      </c>
      <c r="D7" s="11" t="s">
        <v>20</v>
      </c>
      <c r="E7" s="11" t="s">
        <v>21</v>
      </c>
      <c r="F7" s="11" t="s">
        <v>22</v>
      </c>
      <c r="G7" s="97"/>
    </row>
    <row r="8" spans="1:15" ht="20.100000000000001" customHeight="1" x14ac:dyDescent="0.25">
      <c r="A8" s="33">
        <v>2003</v>
      </c>
      <c r="B8" s="18" t="s">
        <v>168</v>
      </c>
      <c r="C8" s="15">
        <v>8.6178739071593569</v>
      </c>
      <c r="D8" s="15">
        <v>-4.4817745556238968</v>
      </c>
      <c r="E8" s="15">
        <v>1.2801529961612435</v>
      </c>
      <c r="F8" s="15">
        <v>-1.2384266487622364</v>
      </c>
      <c r="G8" s="15">
        <v>-2.0055581039043924</v>
      </c>
      <c r="H8" s="19"/>
      <c r="I8" s="19"/>
      <c r="J8" s="19"/>
      <c r="K8" s="19"/>
      <c r="L8" s="19"/>
      <c r="M8" s="19"/>
      <c r="N8" s="19"/>
      <c r="O8" s="19"/>
    </row>
    <row r="9" spans="1:15" ht="20.100000000000001" customHeight="1" x14ac:dyDescent="0.25">
      <c r="A9" s="85">
        <v>2004</v>
      </c>
      <c r="B9" s="12" t="s">
        <v>165</v>
      </c>
      <c r="C9" s="13">
        <v>-0.61397921138244271</v>
      </c>
      <c r="D9" s="13">
        <v>-3.726459373291946</v>
      </c>
      <c r="E9" s="13">
        <v>2.0438356070946018</v>
      </c>
      <c r="F9" s="13">
        <v>-0.52834238177749127</v>
      </c>
      <c r="G9" s="13">
        <v>-0.26110434440357322</v>
      </c>
      <c r="H9" s="24"/>
      <c r="I9" s="24"/>
      <c r="J9" s="24"/>
      <c r="K9" s="24"/>
      <c r="L9" s="24"/>
      <c r="M9" s="24"/>
      <c r="N9" s="24"/>
      <c r="O9" s="24"/>
    </row>
    <row r="10" spans="1:15" ht="20.100000000000001" customHeight="1" x14ac:dyDescent="0.25">
      <c r="A10" s="86"/>
      <c r="B10" s="17" t="s">
        <v>166</v>
      </c>
      <c r="C10" s="5">
        <v>-7.4298751333371493</v>
      </c>
      <c r="D10" s="5">
        <v>0.35406255325021174</v>
      </c>
      <c r="E10" s="5">
        <v>2.8613369666892208</v>
      </c>
      <c r="F10" s="5">
        <v>1.8494247794760055</v>
      </c>
      <c r="G10" s="5">
        <v>2.7735230179751102</v>
      </c>
      <c r="H10" s="19"/>
      <c r="I10" s="19"/>
      <c r="J10" s="19"/>
      <c r="K10" s="19"/>
      <c r="L10" s="19"/>
      <c r="M10" s="19"/>
      <c r="N10" s="19"/>
      <c r="O10" s="19"/>
    </row>
    <row r="11" spans="1:15" ht="20.100000000000001" customHeight="1" x14ac:dyDescent="0.25">
      <c r="A11" s="86"/>
      <c r="B11" s="14" t="s">
        <v>167</v>
      </c>
      <c r="C11" s="9">
        <v>-9.201673036160452</v>
      </c>
      <c r="D11" s="9">
        <v>7.8420829762807731</v>
      </c>
      <c r="E11" s="9">
        <v>4.2868099012300487</v>
      </c>
      <c r="F11" s="9">
        <v>6.1588210224734929</v>
      </c>
      <c r="G11" s="9">
        <v>7.2422588979086377</v>
      </c>
      <c r="H11" s="19"/>
      <c r="I11" s="19"/>
      <c r="J11" s="19"/>
      <c r="K11" s="19"/>
      <c r="L11" s="19"/>
      <c r="M11" s="19"/>
      <c r="N11" s="19"/>
      <c r="O11" s="19"/>
    </row>
    <row r="12" spans="1:15" ht="20.100000000000001" customHeight="1" x14ac:dyDescent="0.2">
      <c r="A12" s="87"/>
      <c r="B12" s="18" t="s">
        <v>168</v>
      </c>
      <c r="C12" s="15">
        <v>-11.049104713563306</v>
      </c>
      <c r="D12" s="15">
        <v>14.992440167850575</v>
      </c>
      <c r="E12" s="15">
        <v>0.32499409640132093</v>
      </c>
      <c r="F12" s="15">
        <v>7.2492533357762179</v>
      </c>
      <c r="G12" s="15">
        <v>7.6777056408453337</v>
      </c>
    </row>
    <row r="13" spans="1:15" ht="20.100000000000001" customHeight="1" x14ac:dyDescent="0.2">
      <c r="A13" s="85">
        <v>2005</v>
      </c>
      <c r="B13" s="12" t="s">
        <v>165</v>
      </c>
      <c r="C13" s="13">
        <v>-7.3790177764853642</v>
      </c>
      <c r="D13" s="13">
        <v>13.3772166260679</v>
      </c>
      <c r="E13" s="13">
        <v>-0.39622412181246069</v>
      </c>
      <c r="F13" s="13">
        <v>6.196836864562183</v>
      </c>
      <c r="G13" s="13">
        <v>6.4218794124794476</v>
      </c>
    </row>
    <row r="14" spans="1:15" ht="20.100000000000001" customHeight="1" x14ac:dyDescent="0.2">
      <c r="A14" s="86"/>
      <c r="B14" s="17" t="s">
        <v>166</v>
      </c>
      <c r="C14" s="5">
        <v>-2.263416299935439</v>
      </c>
      <c r="D14" s="5">
        <v>10.581718178102427</v>
      </c>
      <c r="E14" s="5">
        <v>0.54996095163661884</v>
      </c>
      <c r="F14" s="5">
        <v>5.4514762527702487</v>
      </c>
      <c r="G14" s="5">
        <v>5.5226787715079606</v>
      </c>
    </row>
    <row r="15" spans="1:15" ht="20.100000000000001" customHeight="1" x14ac:dyDescent="0.2">
      <c r="A15" s="86"/>
      <c r="B15" s="14" t="s">
        <v>167</v>
      </c>
      <c r="C15" s="9">
        <v>-1.0621850879029893</v>
      </c>
      <c r="D15" s="9">
        <v>4.1340137174511016</v>
      </c>
      <c r="E15" s="9">
        <v>-1.7730096078712343</v>
      </c>
      <c r="F15" s="9">
        <v>1.1697237067958444</v>
      </c>
      <c r="G15" s="9">
        <v>1.185569801384756</v>
      </c>
    </row>
    <row r="16" spans="1:15" ht="20.100000000000001" customHeight="1" x14ac:dyDescent="0.2">
      <c r="A16" s="87"/>
      <c r="B16" s="18" t="s">
        <v>168</v>
      </c>
      <c r="C16" s="15">
        <v>-2.2942277335698535</v>
      </c>
      <c r="D16" s="15">
        <v>-0.26742946579426663</v>
      </c>
      <c r="E16" s="15">
        <v>1.7536583026869002</v>
      </c>
      <c r="F16" s="15">
        <v>0.6949281372374827</v>
      </c>
      <c r="G16" s="15">
        <v>0.92091066030022262</v>
      </c>
    </row>
    <row r="17" spans="1:7" ht="20.100000000000001" customHeight="1" x14ac:dyDescent="0.2">
      <c r="A17" s="85">
        <v>2006</v>
      </c>
      <c r="B17" s="12" t="s">
        <v>165</v>
      </c>
      <c r="C17" s="13">
        <v>1.3189580665684097</v>
      </c>
      <c r="D17" s="13">
        <v>-0.10137232889666503</v>
      </c>
      <c r="E17" s="13">
        <v>3.1576217982478338</v>
      </c>
      <c r="F17" s="13">
        <v>1.4866867226045022</v>
      </c>
      <c r="G17" s="13">
        <v>1.8136270095024942</v>
      </c>
    </row>
    <row r="18" spans="1:7" ht="20.100000000000001" customHeight="1" x14ac:dyDescent="0.2">
      <c r="A18" s="86"/>
      <c r="B18" s="17" t="s">
        <v>166</v>
      </c>
      <c r="C18" s="5">
        <v>5.2430841584239163</v>
      </c>
      <c r="D18" s="5">
        <v>0.46376443136015855</v>
      </c>
      <c r="E18" s="5">
        <v>3.0030502133350456</v>
      </c>
      <c r="F18" s="5">
        <v>1.7177650190748572</v>
      </c>
      <c r="G18" s="5">
        <v>2.1811098101356841</v>
      </c>
    </row>
    <row r="19" spans="1:7" ht="20.100000000000001" customHeight="1" x14ac:dyDescent="0.2">
      <c r="A19" s="86"/>
      <c r="B19" s="14" t="s">
        <v>167</v>
      </c>
      <c r="C19" s="9">
        <v>10.212857583939371</v>
      </c>
      <c r="D19" s="9">
        <v>2.5466645904256513</v>
      </c>
      <c r="E19" s="9">
        <v>3.1783021113657828</v>
      </c>
      <c r="F19" s="9">
        <v>2.8610361660953876</v>
      </c>
      <c r="G19" s="9">
        <v>3.8335377734229681</v>
      </c>
    </row>
    <row r="20" spans="1:7" ht="20.100000000000001" customHeight="1" x14ac:dyDescent="0.2">
      <c r="A20" s="87"/>
      <c r="B20" s="18" t="s">
        <v>168</v>
      </c>
      <c r="C20" s="15">
        <v>18.791304953505694</v>
      </c>
      <c r="D20" s="15">
        <v>5.575766967226703</v>
      </c>
      <c r="E20" s="15">
        <v>3.2649609307173089</v>
      </c>
      <c r="F20" s="15">
        <v>4.5025870384777011</v>
      </c>
      <c r="G20" s="15">
        <v>6.011712838253902</v>
      </c>
    </row>
    <row r="21" spans="1:7" ht="20.100000000000001" customHeight="1" x14ac:dyDescent="0.2">
      <c r="A21" s="85">
        <v>2007</v>
      </c>
      <c r="B21" s="12" t="s">
        <v>165</v>
      </c>
      <c r="C21" s="13">
        <v>10.701556409757895</v>
      </c>
      <c r="D21" s="13">
        <v>7.2565151389047955</v>
      </c>
      <c r="E21" s="13">
        <v>3.5867980602955818</v>
      </c>
      <c r="F21" s="13">
        <v>5.466885310106373</v>
      </c>
      <c r="G21" s="13">
        <v>7.4539768487193347</v>
      </c>
    </row>
    <row r="22" spans="1:7" ht="20.100000000000001" customHeight="1" x14ac:dyDescent="0.2">
      <c r="A22" s="86"/>
      <c r="B22" s="17" t="s">
        <v>166</v>
      </c>
      <c r="C22" s="5">
        <v>-0.67284300660831464</v>
      </c>
      <c r="D22" s="5">
        <v>6.8198042727185326</v>
      </c>
      <c r="E22" s="5">
        <v>3.8935333949944972</v>
      </c>
      <c r="F22" s="5">
        <v>5.3329368126163512</v>
      </c>
      <c r="G22" s="5">
        <v>7.6718812041431272</v>
      </c>
    </row>
    <row r="23" spans="1:7" ht="20.100000000000001" customHeight="1" x14ac:dyDescent="0.2">
      <c r="A23" s="86"/>
      <c r="B23" s="14" t="s">
        <v>167</v>
      </c>
      <c r="C23" s="9">
        <v>-8.4148721990615076</v>
      </c>
      <c r="D23" s="9">
        <v>8.3736224501158816</v>
      </c>
      <c r="E23" s="9">
        <v>8.0201795235519171</v>
      </c>
      <c r="F23" s="9">
        <v>8.0877345943848091</v>
      </c>
      <c r="G23" s="9">
        <v>10.37113769111655</v>
      </c>
    </row>
    <row r="24" spans="1:7" ht="20.100000000000001" customHeight="1" x14ac:dyDescent="0.2">
      <c r="A24" s="87"/>
      <c r="B24" s="18" t="s">
        <v>168</v>
      </c>
      <c r="C24" s="15">
        <v>-16.717029422758667</v>
      </c>
      <c r="D24" s="15">
        <v>10.555675213851989</v>
      </c>
      <c r="E24" s="15">
        <v>9.4986750884092253</v>
      </c>
      <c r="F24" s="15">
        <v>9.8005660193414066</v>
      </c>
      <c r="G24" s="15">
        <v>11.64466736763956</v>
      </c>
    </row>
    <row r="25" spans="1:7" ht="20.100000000000001" customHeight="1" x14ac:dyDescent="0.2">
      <c r="A25" s="85">
        <v>2008</v>
      </c>
      <c r="B25" s="12" t="s">
        <v>165</v>
      </c>
      <c r="C25" s="13">
        <v>-12.576782514426654</v>
      </c>
      <c r="D25" s="13">
        <v>11.253406174848667</v>
      </c>
      <c r="E25" s="13">
        <v>10.40914595333442</v>
      </c>
      <c r="F25" s="13">
        <v>10.568205051518675</v>
      </c>
      <c r="G25" s="13">
        <v>11.992121647431976</v>
      </c>
    </row>
    <row r="26" spans="1:7" ht="20.100000000000001" customHeight="1" x14ac:dyDescent="0.2">
      <c r="A26" s="86"/>
      <c r="B26" s="17" t="s">
        <v>166</v>
      </c>
      <c r="C26" s="5">
        <v>6.7196453730899997E-2</v>
      </c>
      <c r="D26" s="5">
        <v>12.825039707084041</v>
      </c>
      <c r="E26" s="5">
        <v>12.762944395103659</v>
      </c>
      <c r="F26" s="5">
        <v>12.644176154925923</v>
      </c>
      <c r="G26" s="5">
        <v>13.652383262980173</v>
      </c>
    </row>
    <row r="27" spans="1:7" ht="20.100000000000001" customHeight="1" x14ac:dyDescent="0.2">
      <c r="A27" s="86"/>
      <c r="B27" s="14" t="s">
        <v>167</v>
      </c>
      <c r="C27" s="9">
        <v>8.9783696621033258</v>
      </c>
      <c r="D27" s="9">
        <v>11.253016647222381</v>
      </c>
      <c r="E27" s="9">
        <v>11.149950337984983</v>
      </c>
      <c r="F27" s="9">
        <v>11.18383805113532</v>
      </c>
      <c r="G27" s="9">
        <v>12.072679153044108</v>
      </c>
    </row>
    <row r="28" spans="1:7" ht="20.100000000000001" customHeight="1" x14ac:dyDescent="0.2">
      <c r="A28" s="87"/>
      <c r="B28" s="18" t="s">
        <v>168</v>
      </c>
      <c r="C28" s="15">
        <v>31.970645230428563</v>
      </c>
      <c r="D28" s="15">
        <v>6.6962531533020675</v>
      </c>
      <c r="E28" s="15">
        <v>9.0512125379693664</v>
      </c>
      <c r="F28" s="15">
        <v>8.0876974988510764</v>
      </c>
      <c r="G28" s="15">
        <v>9.3128395732296809</v>
      </c>
    </row>
    <row r="29" spans="1:7" ht="20.100000000000001" customHeight="1" x14ac:dyDescent="0.2">
      <c r="A29" s="85">
        <v>2009</v>
      </c>
      <c r="B29" s="12" t="s">
        <v>165</v>
      </c>
      <c r="C29" s="13">
        <v>33.597708130499136</v>
      </c>
      <c r="D29" s="13">
        <v>1.8691026928715271</v>
      </c>
      <c r="E29" s="13">
        <v>7.458580613906407</v>
      </c>
      <c r="F29" s="13">
        <v>4.9520293057123688</v>
      </c>
      <c r="G29" s="13">
        <v>6.4737523366562133</v>
      </c>
    </row>
    <row r="30" spans="1:7" ht="20.100000000000001" customHeight="1" x14ac:dyDescent="0.2">
      <c r="A30" s="86"/>
      <c r="B30" s="17" t="s">
        <v>166</v>
      </c>
      <c r="C30" s="5">
        <v>24.349770741382248</v>
      </c>
      <c r="D30" s="5">
        <v>-2.2730121376638879</v>
      </c>
      <c r="E30" s="5">
        <v>3.6020466933003981</v>
      </c>
      <c r="F30" s="5">
        <v>0.92816851244241771</v>
      </c>
      <c r="G30" s="5">
        <v>2.828782131720553</v>
      </c>
    </row>
    <row r="31" spans="1:7" ht="20.100000000000001" customHeight="1" x14ac:dyDescent="0.2">
      <c r="A31" s="86"/>
      <c r="B31" s="14" t="s">
        <v>167</v>
      </c>
      <c r="C31" s="9">
        <v>20.445615108917316</v>
      </c>
      <c r="D31" s="9">
        <v>-5.1570894060069206</v>
      </c>
      <c r="E31" s="9">
        <v>6.8218812619869063E-2</v>
      </c>
      <c r="F31" s="9">
        <v>-2.2819590242944221</v>
      </c>
      <c r="G31" s="9">
        <v>-0.15682633738902663</v>
      </c>
    </row>
    <row r="32" spans="1:7" ht="20.100000000000001" customHeight="1" x14ac:dyDescent="0.2">
      <c r="A32" s="87"/>
      <c r="B32" s="18" t="s">
        <v>168</v>
      </c>
      <c r="C32" s="15">
        <v>-0.23754929169789163</v>
      </c>
      <c r="D32" s="15">
        <v>-5.95001771445689</v>
      </c>
      <c r="E32" s="15">
        <v>-0.40328120843132753</v>
      </c>
      <c r="F32" s="15">
        <v>-3.0598306576869461</v>
      </c>
      <c r="G32" s="15">
        <v>-1.0528462678492501</v>
      </c>
    </row>
    <row r="33" spans="1:7" ht="20.100000000000001" customHeight="1" x14ac:dyDescent="0.2">
      <c r="A33" s="85">
        <v>2010</v>
      </c>
      <c r="B33" s="12" t="s">
        <v>165</v>
      </c>
      <c r="C33" s="13">
        <v>-3.4984439931987521</v>
      </c>
      <c r="D33" s="13">
        <v>-2.8335252321742166</v>
      </c>
      <c r="E33" s="13">
        <v>2.4605173701141902</v>
      </c>
      <c r="F33" s="13">
        <v>-4.4487129416970195E-2</v>
      </c>
      <c r="G33" s="13">
        <v>1.6979764635079775</v>
      </c>
    </row>
    <row r="34" spans="1:7" ht="20.100000000000001" customHeight="1" x14ac:dyDescent="0.2">
      <c r="A34" s="86"/>
      <c r="B34" s="17" t="s">
        <v>166</v>
      </c>
      <c r="C34" s="5">
        <v>-5.1599770413088279</v>
      </c>
      <c r="D34" s="5">
        <v>-4.731752826840907E-2</v>
      </c>
      <c r="E34" s="5">
        <v>7.0740570365440236</v>
      </c>
      <c r="F34" s="5">
        <v>3.720665786760402</v>
      </c>
      <c r="G34" s="5">
        <v>5.259797794973009</v>
      </c>
    </row>
    <row r="35" spans="1:7" ht="20.100000000000001" customHeight="1" x14ac:dyDescent="0.2">
      <c r="A35" s="86"/>
      <c r="B35" s="14" t="s">
        <v>167</v>
      </c>
      <c r="C35" s="9">
        <v>-8.7521535183744064</v>
      </c>
      <c r="D35" s="9">
        <v>1.0825208489609217</v>
      </c>
      <c r="E35" s="9">
        <v>12.232761519034629</v>
      </c>
      <c r="F35" s="9">
        <v>6.9456042856244293</v>
      </c>
      <c r="G35" s="9">
        <v>8.3085319014449155</v>
      </c>
    </row>
    <row r="36" spans="1:7" ht="20.100000000000001" customHeight="1" x14ac:dyDescent="0.2">
      <c r="A36" s="87"/>
      <c r="B36" s="18" t="s">
        <v>168</v>
      </c>
      <c r="C36" s="15">
        <v>-9.3443070738228773</v>
      </c>
      <c r="D36" s="15">
        <v>1.8163909433686065</v>
      </c>
      <c r="E36" s="15">
        <v>16.532814344904878</v>
      </c>
      <c r="F36" s="15">
        <v>9.662584520933537</v>
      </c>
      <c r="G36" s="15">
        <v>11.092312842420782</v>
      </c>
    </row>
    <row r="37" spans="1:7" ht="20.100000000000001" customHeight="1" x14ac:dyDescent="0.2">
      <c r="A37" s="85">
        <v>2011</v>
      </c>
      <c r="B37" s="12" t="s">
        <v>165</v>
      </c>
      <c r="C37" s="13">
        <v>-10.677840251137427</v>
      </c>
      <c r="D37" s="13">
        <v>0.6324014272042211</v>
      </c>
      <c r="E37" s="13">
        <v>13.432704550833897</v>
      </c>
      <c r="F37" s="13">
        <v>7.4749147701270724</v>
      </c>
      <c r="G37" s="13">
        <v>9.0386968490532524</v>
      </c>
    </row>
    <row r="38" spans="1:7" ht="20.100000000000001" customHeight="1" x14ac:dyDescent="0.2">
      <c r="A38" s="86"/>
      <c r="B38" s="17" t="s">
        <v>166</v>
      </c>
      <c r="C38" s="5">
        <v>-11.523520614367778</v>
      </c>
      <c r="D38" s="5">
        <v>-1.6983110917694999</v>
      </c>
      <c r="E38" s="5">
        <v>9.3780314416084032</v>
      </c>
      <c r="F38" s="5">
        <v>4.2700075564029216</v>
      </c>
      <c r="G38" s="5">
        <v>5.6351133099889594</v>
      </c>
    </row>
    <row r="39" spans="1:7" ht="20.100000000000001" customHeight="1" x14ac:dyDescent="0.2">
      <c r="A39" s="86"/>
      <c r="B39" s="14" t="s">
        <v>167</v>
      </c>
      <c r="C39" s="9">
        <v>-10.821661141714445</v>
      </c>
      <c r="D39" s="9">
        <v>-1.0828378859995103</v>
      </c>
      <c r="E39" s="9">
        <v>6.5920734708770912</v>
      </c>
      <c r="F39" s="9">
        <v>3.1137183897461229</v>
      </c>
      <c r="G39" s="9">
        <v>4.2049537310208329</v>
      </c>
    </row>
    <row r="40" spans="1:7" ht="20.100000000000001" customHeight="1" x14ac:dyDescent="0.2">
      <c r="A40" s="87"/>
      <c r="B40" s="18" t="s">
        <v>168</v>
      </c>
      <c r="C40" s="15">
        <v>-3.3191977212198687</v>
      </c>
      <c r="D40" s="15">
        <v>-1.4604691003207937</v>
      </c>
      <c r="E40" s="15">
        <v>2.9914251267912917</v>
      </c>
      <c r="F40" s="15">
        <v>0.97715244450762295</v>
      </c>
      <c r="G40" s="15">
        <v>1.8246923481848087</v>
      </c>
    </row>
    <row r="41" spans="1:7" ht="20.100000000000001" customHeight="1" x14ac:dyDescent="0.2">
      <c r="A41" s="85">
        <v>2012</v>
      </c>
      <c r="B41" s="12" t="s">
        <v>165</v>
      </c>
      <c r="C41" s="13">
        <v>2.6676521827228017</v>
      </c>
      <c r="D41" s="13">
        <v>-4.5260566926998642</v>
      </c>
      <c r="E41" s="13">
        <v>2.8102999097465053</v>
      </c>
      <c r="F41" s="13">
        <v>-0.31872412315432364</v>
      </c>
      <c r="G41" s="13">
        <v>0.68820990399083293</v>
      </c>
    </row>
    <row r="42" spans="1:7" ht="20.100000000000001" customHeight="1" x14ac:dyDescent="0.2">
      <c r="A42" s="86"/>
      <c r="B42" s="17" t="s">
        <v>166</v>
      </c>
      <c r="C42" s="5">
        <v>8.5960234679730583</v>
      </c>
      <c r="D42" s="5">
        <v>-3.4049203967303376</v>
      </c>
      <c r="E42" s="5">
        <v>3.430023624348455</v>
      </c>
      <c r="F42" s="5">
        <v>0.60435584782854157</v>
      </c>
      <c r="G42" s="5">
        <v>1.8536449234206831</v>
      </c>
    </row>
    <row r="43" spans="1:7" ht="20.100000000000001" customHeight="1" x14ac:dyDescent="0.2">
      <c r="A43" s="86"/>
      <c r="B43" s="14" t="s">
        <v>167</v>
      </c>
      <c r="C43" s="9">
        <v>16.568755858948503</v>
      </c>
      <c r="D43" s="9">
        <v>-2.8571992567328897</v>
      </c>
      <c r="E43" s="9">
        <v>2.9623921414293042</v>
      </c>
      <c r="F43" s="9">
        <v>0.55718122289787342</v>
      </c>
      <c r="G43" s="9">
        <v>1.9728736639826217</v>
      </c>
    </row>
    <row r="44" spans="1:7" ht="20.100000000000001" customHeight="1" x14ac:dyDescent="0.2">
      <c r="A44" s="87"/>
      <c r="B44" s="18" t="s">
        <v>168</v>
      </c>
      <c r="C44" s="15">
        <v>17.663178008754233</v>
      </c>
      <c r="D44" s="15">
        <v>-0.73468729989066839</v>
      </c>
      <c r="E44" s="15">
        <v>3.609933764856188</v>
      </c>
      <c r="F44" s="15">
        <v>1.9160667559142253</v>
      </c>
      <c r="G44" s="15">
        <v>3.5087243551012115</v>
      </c>
    </row>
    <row r="45" spans="1:7" ht="20.100000000000001" customHeight="1" x14ac:dyDescent="0.2">
      <c r="A45" s="85">
        <v>2013</v>
      </c>
      <c r="B45" s="12" t="s">
        <v>165</v>
      </c>
      <c r="C45" s="13">
        <v>9.9871542308412877</v>
      </c>
      <c r="D45" s="13">
        <v>2.9349175916508763</v>
      </c>
      <c r="E45" s="13">
        <v>3.1774378236337331</v>
      </c>
      <c r="F45" s="13">
        <v>3.1635140916185911</v>
      </c>
      <c r="G45" s="13">
        <v>4.5934147685467996</v>
      </c>
    </row>
    <row r="46" spans="1:7" ht="20.100000000000001" customHeight="1" x14ac:dyDescent="0.2">
      <c r="A46" s="86"/>
      <c r="B46" s="17" t="s">
        <v>166</v>
      </c>
      <c r="C46" s="5">
        <v>6.0367328922234842</v>
      </c>
      <c r="D46" s="5">
        <v>4.1300899135310987</v>
      </c>
      <c r="E46" s="5">
        <v>2.2262222628464778</v>
      </c>
      <c r="F46" s="5">
        <v>3.0256914912437205</v>
      </c>
      <c r="G46" s="5">
        <v>3.9951966824583796</v>
      </c>
    </row>
    <row r="47" spans="1:7" ht="20.100000000000001" customHeight="1" x14ac:dyDescent="0.2">
      <c r="A47" s="86"/>
      <c r="B47" s="14" t="s">
        <v>167</v>
      </c>
      <c r="C47" s="9">
        <v>-2.0678119781150195</v>
      </c>
      <c r="D47" s="9">
        <v>3.3539497286776632</v>
      </c>
      <c r="E47" s="9">
        <v>2.8593406652335673</v>
      </c>
      <c r="F47" s="9">
        <v>3.0599069671419787</v>
      </c>
      <c r="G47" s="9">
        <v>3.8734832707509659</v>
      </c>
    </row>
    <row r="48" spans="1:7" ht="20.100000000000001" customHeight="1" x14ac:dyDescent="0.2">
      <c r="A48" s="87"/>
      <c r="B48" s="18" t="s">
        <v>168</v>
      </c>
      <c r="C48" s="15">
        <v>-6.4731866866373551</v>
      </c>
      <c r="D48" s="15">
        <v>2.1716072450691959</v>
      </c>
      <c r="E48" s="15">
        <v>0.94526541860733282</v>
      </c>
      <c r="F48" s="15">
        <v>1.3708033329281832</v>
      </c>
      <c r="G48" s="15">
        <v>1.8210988272664208</v>
      </c>
    </row>
    <row r="49" spans="1:7" ht="20.100000000000001" customHeight="1" x14ac:dyDescent="0.2">
      <c r="A49" s="85">
        <v>2014</v>
      </c>
      <c r="B49" s="12" t="s">
        <v>165</v>
      </c>
      <c r="C49" s="13">
        <v>-5.6074389198208729</v>
      </c>
      <c r="D49" s="13">
        <v>4.0821823587991357</v>
      </c>
      <c r="E49" s="13">
        <v>0.97104195196024978</v>
      </c>
      <c r="F49" s="13">
        <v>2.0739474488975285</v>
      </c>
      <c r="G49" s="13">
        <v>2.0904322943539277</v>
      </c>
    </row>
    <row r="50" spans="1:7" ht="20.100000000000001" customHeight="1" x14ac:dyDescent="0.2">
      <c r="A50" s="86"/>
      <c r="B50" s="17" t="s">
        <v>166</v>
      </c>
      <c r="C50" s="5">
        <v>-4.7335410907494264</v>
      </c>
      <c r="D50" s="5">
        <v>4.3551437542032057</v>
      </c>
      <c r="E50" s="5">
        <v>0.57250930476517858</v>
      </c>
      <c r="F50" s="5">
        <v>1.8994875407905454</v>
      </c>
      <c r="G50" s="5">
        <v>1.8029398778237837</v>
      </c>
    </row>
    <row r="51" spans="1:7" ht="20.100000000000001" customHeight="1" x14ac:dyDescent="0.2">
      <c r="A51" s="86"/>
      <c r="B51" s="14" t="s">
        <v>167</v>
      </c>
      <c r="C51" s="9">
        <v>-1.2175180167279032</v>
      </c>
      <c r="D51" s="9">
        <v>4.234698276558313</v>
      </c>
      <c r="E51" s="9">
        <v>-1.8713051674945302</v>
      </c>
      <c r="F51" s="9">
        <v>0.35954269241140757</v>
      </c>
      <c r="G51" s="9">
        <v>5.7591684976188162E-2</v>
      </c>
    </row>
    <row r="52" spans="1:7" ht="20.100000000000001" customHeight="1" x14ac:dyDescent="0.2">
      <c r="A52" s="87"/>
      <c r="B52" s="18" t="s">
        <v>168</v>
      </c>
      <c r="C52" s="15">
        <v>-3.012450864174665</v>
      </c>
      <c r="D52" s="15">
        <v>6.4373069596427301</v>
      </c>
      <c r="E52" s="15">
        <v>-2.619632903353375</v>
      </c>
      <c r="F52" s="15">
        <v>0.66135997177971806</v>
      </c>
      <c r="G52" s="15">
        <v>0.13827599102156363</v>
      </c>
    </row>
    <row r="53" spans="1:7" ht="20.100000000000001" customHeight="1" x14ac:dyDescent="0.2">
      <c r="A53" s="85">
        <v>2015</v>
      </c>
      <c r="B53" s="12" t="s">
        <v>165</v>
      </c>
      <c r="C53" s="13">
        <v>2.5554198907339565</v>
      </c>
      <c r="D53" s="13">
        <v>5.7013282025927925</v>
      </c>
      <c r="E53" s="13">
        <v>-4.7714925506887385</v>
      </c>
      <c r="F53" s="13">
        <v>-0.94018413300823722</v>
      </c>
      <c r="G53" s="13">
        <v>-1.5612970355501576</v>
      </c>
    </row>
    <row r="54" spans="1:7" ht="20.100000000000001" customHeight="1" x14ac:dyDescent="0.2">
      <c r="A54" s="86"/>
      <c r="B54" s="17" t="s">
        <v>166</v>
      </c>
      <c r="C54" s="5">
        <v>7.9620454121912099</v>
      </c>
      <c r="D54" s="5">
        <v>4.280908828130281</v>
      </c>
      <c r="E54" s="5">
        <v>-5.8821212556164459</v>
      </c>
      <c r="F54" s="5">
        <v>-2.0846657021817094</v>
      </c>
      <c r="G54" s="5">
        <v>-2.6860709187078946</v>
      </c>
    </row>
    <row r="55" spans="1:7" ht="20.100000000000001" customHeight="1" x14ac:dyDescent="0.2">
      <c r="A55" s="86"/>
      <c r="B55" s="14" t="s">
        <v>167</v>
      </c>
      <c r="C55" s="9">
        <v>9.2035844598850716</v>
      </c>
      <c r="D55" s="9">
        <v>6.191720298111858</v>
      </c>
      <c r="E55" s="9">
        <v>-5.2665062785938304</v>
      </c>
      <c r="F55" s="9">
        <v>-0.92899467650717771</v>
      </c>
      <c r="G55" s="9">
        <v>-1.5831269570166118</v>
      </c>
    </row>
    <row r="56" spans="1:7" ht="20.100000000000001" customHeight="1" x14ac:dyDescent="0.2">
      <c r="A56" s="87"/>
      <c r="B56" s="18" t="s">
        <v>168</v>
      </c>
      <c r="C56" s="15">
        <v>12.056963003435307</v>
      </c>
      <c r="D56" s="15">
        <v>4.0311189738969855</v>
      </c>
      <c r="E56" s="15">
        <v>-4.6292944799349307</v>
      </c>
      <c r="F56" s="15">
        <v>-1.2533352900467976</v>
      </c>
      <c r="G56" s="15">
        <v>-1.6499476283741932</v>
      </c>
    </row>
    <row r="57" spans="1:7" ht="20.100000000000001" customHeight="1" x14ac:dyDescent="0.2">
      <c r="A57" s="85">
        <v>2016</v>
      </c>
      <c r="B57" s="12" t="s">
        <v>165</v>
      </c>
      <c r="C57" s="13">
        <v>9.9085321649547318</v>
      </c>
      <c r="D57" s="13">
        <v>1.505032059594491</v>
      </c>
      <c r="E57" s="13">
        <v>-4.1504469009642992</v>
      </c>
      <c r="F57" s="13">
        <v>-1.8770071803106081</v>
      </c>
      <c r="G57" s="13">
        <v>-2.1561312490273599</v>
      </c>
    </row>
    <row r="58" spans="1:7" ht="20.100000000000001" customHeight="1" x14ac:dyDescent="0.2">
      <c r="A58" s="86"/>
      <c r="B58" s="17" t="s">
        <v>166</v>
      </c>
      <c r="C58" s="5">
        <v>6.1421588015266426</v>
      </c>
      <c r="D58" s="5">
        <v>0.72262743988589229</v>
      </c>
      <c r="E58" s="5">
        <v>-4.404229188865183</v>
      </c>
      <c r="F58" s="5">
        <v>-2.3494914804485956</v>
      </c>
      <c r="G58" s="5">
        <v>-2.658790757991214</v>
      </c>
    </row>
    <row r="59" spans="1:7" ht="20.100000000000001" customHeight="1" x14ac:dyDescent="0.2">
      <c r="A59" s="86"/>
      <c r="B59" s="14" t="s">
        <v>167</v>
      </c>
      <c r="C59" s="9">
        <v>2.4638602814241795</v>
      </c>
      <c r="D59" s="9">
        <v>-1.0464082567048782</v>
      </c>
      <c r="E59" s="9">
        <v>-4.6687836372138136</v>
      </c>
      <c r="F59" s="9">
        <v>-3.2491936648702757</v>
      </c>
      <c r="G59" s="9">
        <v>-3.6774038533038511</v>
      </c>
    </row>
    <row r="60" spans="1:7" ht="20.100000000000001" customHeight="1" x14ac:dyDescent="0.2">
      <c r="A60" s="87"/>
      <c r="B60" s="18" t="s">
        <v>168</v>
      </c>
      <c r="C60" s="15">
        <v>2.2952009778552718</v>
      </c>
      <c r="D60" s="15">
        <v>-3.0167598070895973</v>
      </c>
      <c r="E60" s="15">
        <v>-4.0807909320306539</v>
      </c>
      <c r="F60" s="15">
        <v>-3.6520404660587036</v>
      </c>
      <c r="G60" s="15">
        <v>-4.5275415517823658</v>
      </c>
    </row>
    <row r="61" spans="1:7" ht="20.100000000000001" customHeight="1" x14ac:dyDescent="0.2">
      <c r="A61" s="85">
        <v>2017</v>
      </c>
      <c r="B61" s="12" t="s">
        <v>165</v>
      </c>
      <c r="C61" s="13">
        <v>-3.1193969951924805</v>
      </c>
      <c r="D61" s="13">
        <v>-3.8674614033708199</v>
      </c>
      <c r="E61" s="13">
        <v>-1.9486623991979646</v>
      </c>
      <c r="F61" s="13">
        <v>-2.7987396801209541</v>
      </c>
      <c r="G61" s="13">
        <v>-3.6173837894022509</v>
      </c>
    </row>
    <row r="62" spans="1:7" ht="20.100000000000001" customHeight="1" x14ac:dyDescent="0.2">
      <c r="A62" s="86"/>
      <c r="B62" s="17" t="s">
        <v>166</v>
      </c>
      <c r="C62" s="5">
        <v>-10.685966597374176</v>
      </c>
      <c r="D62" s="5">
        <v>-3.9800037067083349</v>
      </c>
      <c r="E62" s="5">
        <v>0.88312205720084691</v>
      </c>
      <c r="F62" s="5">
        <v>-1.2095746282404174</v>
      </c>
      <c r="G62" s="5">
        <v>-1.8908148276998826</v>
      </c>
    </row>
    <row r="63" spans="1:7" ht="20.100000000000001" customHeight="1" x14ac:dyDescent="0.2">
      <c r="A63" s="86"/>
      <c r="B63" s="14" t="s">
        <v>167</v>
      </c>
      <c r="C63" s="9">
        <v>-11.573665981422653</v>
      </c>
      <c r="D63" s="9">
        <v>-3.3404886708647719</v>
      </c>
      <c r="E63" s="9">
        <v>3.1042034111757655</v>
      </c>
      <c r="F63" s="9">
        <v>0.4436215575534419</v>
      </c>
      <c r="G63" s="9">
        <v>-8.4113743231806204E-3</v>
      </c>
    </row>
    <row r="64" spans="1:7" ht="20.100000000000001" customHeight="1" x14ac:dyDescent="0.2">
      <c r="A64" s="87"/>
      <c r="B64" s="18" t="s">
        <v>168</v>
      </c>
      <c r="C64" s="15">
        <v>-8.8657229827597934</v>
      </c>
      <c r="D64" s="15">
        <v>-1.1893314708809721</v>
      </c>
      <c r="E64" s="15">
        <v>3.8179564271113575</v>
      </c>
      <c r="F64" s="15">
        <v>1.7239994692572758</v>
      </c>
      <c r="G64" s="15">
        <v>1.9201047935084592</v>
      </c>
    </row>
    <row r="65" spans="1:7" ht="20.100000000000001" customHeight="1" x14ac:dyDescent="0.2">
      <c r="A65" s="85">
        <v>2018</v>
      </c>
      <c r="B65" s="12" t="s">
        <v>165</v>
      </c>
      <c r="C65" s="13">
        <v>-9.4421042760034481</v>
      </c>
      <c r="D65" s="13">
        <v>1.1631754699328312</v>
      </c>
      <c r="E65" s="13">
        <v>3.9123969157819349</v>
      </c>
      <c r="F65" s="13">
        <v>2.7752515922097043</v>
      </c>
      <c r="G65" s="13">
        <v>3.0159815284343194</v>
      </c>
    </row>
    <row r="66" spans="1:7" ht="20.100000000000001" customHeight="1" x14ac:dyDescent="0.2">
      <c r="A66" s="86"/>
      <c r="B66" s="17" t="s">
        <v>166</v>
      </c>
      <c r="C66" s="5">
        <v>-7.0516202530066181</v>
      </c>
      <c r="D66" s="5">
        <v>4.0148907800967804</v>
      </c>
      <c r="E66" s="5">
        <v>3.3127259176864987</v>
      </c>
      <c r="F66" s="5">
        <v>3.5713405586405456</v>
      </c>
      <c r="G66" s="5">
        <v>3.7951454584431943</v>
      </c>
    </row>
    <row r="67" spans="1:7" ht="20.100000000000001" customHeight="1" x14ac:dyDescent="0.2">
      <c r="A67" s="86"/>
      <c r="B67" s="14" t="s">
        <v>167</v>
      </c>
      <c r="C67" s="9">
        <v>-4.1868156559268126</v>
      </c>
      <c r="D67" s="9">
        <v>3.1691214482370222</v>
      </c>
      <c r="E67" s="9">
        <v>3.5876079740625011</v>
      </c>
      <c r="F67" s="9">
        <v>3.3630606176140665</v>
      </c>
      <c r="G67" s="9">
        <v>3.7595257566023221</v>
      </c>
    </row>
    <row r="68" spans="1:7" ht="20.100000000000001" customHeight="1" x14ac:dyDescent="0.2">
      <c r="A68" s="87"/>
      <c r="B68" s="18" t="s">
        <v>168</v>
      </c>
      <c r="C68" s="15">
        <v>-10.261182007143677</v>
      </c>
      <c r="D68" s="15">
        <v>2.6112814700541387</v>
      </c>
      <c r="E68" s="15">
        <v>4.6496608999956113</v>
      </c>
      <c r="F68" s="15">
        <v>3.7808692135200994</v>
      </c>
      <c r="G68" s="15">
        <v>4.0495328132339914</v>
      </c>
    </row>
    <row r="69" spans="1:7" ht="20.100000000000001" customHeight="1" x14ac:dyDescent="0.2">
      <c r="A69" s="85">
        <v>2019</v>
      </c>
      <c r="B69" s="12" t="s">
        <v>165</v>
      </c>
      <c r="C69" s="13">
        <v>-7.6028076919685272</v>
      </c>
      <c r="D69" s="13">
        <v>1.6620756486248833</v>
      </c>
      <c r="E69" s="13">
        <v>4.397238645886814</v>
      </c>
      <c r="F69" s="13">
        <v>3.220579383237876</v>
      </c>
      <c r="G69" s="13">
        <v>3.5362411617854139</v>
      </c>
    </row>
    <row r="70" spans="1:7" ht="20.100000000000001" customHeight="1" x14ac:dyDescent="0.2">
      <c r="A70" s="86"/>
      <c r="B70" s="17" t="s">
        <v>166</v>
      </c>
      <c r="C70" s="5">
        <v>-5.0301977406956411</v>
      </c>
      <c r="D70" s="5">
        <v>-0.94853954126383755</v>
      </c>
      <c r="E70" s="5">
        <v>4.489886409089805</v>
      </c>
      <c r="F70" s="5">
        <v>2.2385404472536008</v>
      </c>
      <c r="G70" s="5">
        <v>2.7808423593900455</v>
      </c>
    </row>
    <row r="71" spans="1:7" ht="20.100000000000001" customHeight="1" x14ac:dyDescent="0.2">
      <c r="A71" s="86"/>
      <c r="B71" s="14" t="s">
        <v>167</v>
      </c>
      <c r="C71" s="9">
        <v>-9.1396299537454979</v>
      </c>
      <c r="D71" s="9">
        <v>-2.081257356407773</v>
      </c>
      <c r="E71" s="9">
        <v>2.7757607204436319</v>
      </c>
      <c r="F71" s="9">
        <v>0.77284420719687663</v>
      </c>
      <c r="G71" s="9">
        <v>1.3674797171112862</v>
      </c>
    </row>
    <row r="72" spans="1:7" ht="20.100000000000001" customHeight="1" x14ac:dyDescent="0.2">
      <c r="A72" s="87"/>
      <c r="B72" s="18" t="s">
        <v>168</v>
      </c>
      <c r="C72" s="15">
        <v>-5.3581985217610821</v>
      </c>
      <c r="D72" s="15">
        <v>-3.7726240634500474</v>
      </c>
      <c r="E72" s="15">
        <v>0.74626696066109055</v>
      </c>
      <c r="F72" s="15">
        <v>-1.1248412365331473</v>
      </c>
      <c r="G72" s="15">
        <v>-0.56417200203947582</v>
      </c>
    </row>
    <row r="73" spans="1:7" ht="20.100000000000001" customHeight="1" x14ac:dyDescent="0.2">
      <c r="A73" s="85">
        <v>2020</v>
      </c>
      <c r="B73" s="12" t="s">
        <v>165</v>
      </c>
      <c r="C73" s="13">
        <v>-0.1643515023044162</v>
      </c>
      <c r="D73" s="13">
        <v>-4.7786597785580369</v>
      </c>
      <c r="E73" s="13">
        <v>0.50492669013280089</v>
      </c>
      <c r="F73" s="13">
        <v>-1.645913788286868</v>
      </c>
      <c r="G73" s="13">
        <v>-0.99963292141889148</v>
      </c>
    </row>
    <row r="74" spans="1:7" ht="20.100000000000001" customHeight="1" x14ac:dyDescent="0.2">
      <c r="A74" s="86"/>
      <c r="B74" s="17" t="s">
        <v>166</v>
      </c>
      <c r="C74" s="5">
        <v>4.690846028619422</v>
      </c>
      <c r="D74" s="5">
        <v>-10.021978816992306</v>
      </c>
      <c r="E74" s="5">
        <v>-1.7474234886324935</v>
      </c>
      <c r="F74" s="5">
        <v>-5.119862327228109</v>
      </c>
      <c r="G74" s="5">
        <v>-4.7197249895414073</v>
      </c>
    </row>
    <row r="75" spans="1:7" ht="20.100000000000001" customHeight="1" x14ac:dyDescent="0.2">
      <c r="A75" s="86"/>
      <c r="B75" s="14" t="s">
        <v>167</v>
      </c>
      <c r="C75" s="9">
        <v>9.3385274988094569</v>
      </c>
      <c r="D75" s="9">
        <v>-12.295740104296405</v>
      </c>
      <c r="E75" s="9">
        <v>-1.6623251306397746</v>
      </c>
      <c r="F75" s="9">
        <v>-5.9900146063738173</v>
      </c>
      <c r="G75" s="9">
        <v>-5.4680954018863641</v>
      </c>
    </row>
    <row r="76" spans="1:7" ht="20.100000000000001" customHeight="1" x14ac:dyDescent="0.2">
      <c r="A76" s="87"/>
      <c r="B76" s="18" t="s">
        <v>168</v>
      </c>
      <c r="C76" s="15">
        <v>10.009519366854679</v>
      </c>
      <c r="D76" s="15">
        <v>-11.63468254249549</v>
      </c>
      <c r="E76" s="15">
        <v>-1.1655531468200864</v>
      </c>
      <c r="F76" s="15">
        <v>-5.3960468160098589</v>
      </c>
      <c r="G76" s="15">
        <v>-4.8986726711907735</v>
      </c>
    </row>
    <row r="77" spans="1:7" ht="20.100000000000001" customHeight="1" x14ac:dyDescent="0.2">
      <c r="A77" s="85">
        <v>2021</v>
      </c>
      <c r="B77" s="12" t="s">
        <v>165</v>
      </c>
      <c r="C77" s="13">
        <v>3.1137787993956723</v>
      </c>
      <c r="D77" s="13">
        <v>-10.732764980393227</v>
      </c>
      <c r="E77" s="13">
        <v>-0.48175718810434809</v>
      </c>
      <c r="F77" s="13">
        <v>-4.5911753634104269</v>
      </c>
      <c r="G77" s="13">
        <v>-4.1732815863822603</v>
      </c>
    </row>
    <row r="78" spans="1:7" ht="20.100000000000001" customHeight="1" x14ac:dyDescent="0.2">
      <c r="A78" s="86"/>
      <c r="B78" s="17" t="s">
        <v>166</v>
      </c>
      <c r="C78" s="5">
        <v>-5.1282330286678608</v>
      </c>
      <c r="D78" s="5">
        <v>-1.952684989650133</v>
      </c>
      <c r="E78" s="5">
        <v>4.8764882536176613</v>
      </c>
      <c r="F78" s="5">
        <v>2.1722543727210164</v>
      </c>
      <c r="G78" s="5">
        <v>2.8019140062688574</v>
      </c>
    </row>
    <row r="79" spans="1:7" ht="20.100000000000001" customHeight="1" x14ac:dyDescent="0.2">
      <c r="A79" s="86"/>
      <c r="B79" s="14" t="s">
        <v>167</v>
      </c>
      <c r="C79" s="9">
        <v>-8.3424747313032395</v>
      </c>
      <c r="D79" s="9">
        <v>1.9921385973395322</v>
      </c>
      <c r="E79" s="9">
        <v>6.9668273699455829</v>
      </c>
      <c r="F79" s="9">
        <v>4.9924446959689561</v>
      </c>
      <c r="G79" s="9">
        <v>4.9102318385902732</v>
      </c>
    </row>
    <row r="80" spans="1:7" ht="20.100000000000001" customHeight="1" x14ac:dyDescent="0.2">
      <c r="A80" s="87"/>
      <c r="B80" s="18" t="s">
        <v>168</v>
      </c>
      <c r="C80" s="15">
        <v>-10.880825467945332</v>
      </c>
      <c r="D80" s="15">
        <v>0.66541491166485223</v>
      </c>
      <c r="E80" s="15">
        <v>8.7422605105224918</v>
      </c>
      <c r="F80" s="15">
        <v>5.6028229216308789</v>
      </c>
      <c r="G80" s="15">
        <v>5.2621135530505292</v>
      </c>
    </row>
    <row r="81" spans="1:7" ht="20.100000000000001" customHeight="1" x14ac:dyDescent="0.2">
      <c r="A81" s="85">
        <v>2022</v>
      </c>
      <c r="B81" s="12" t="s">
        <v>165</v>
      </c>
      <c r="C81" s="13">
        <v>-3.0688759968675372</v>
      </c>
      <c r="D81" s="13">
        <v>-0.51162767239179008</v>
      </c>
      <c r="E81" s="13">
        <v>8.5440483141459467</v>
      </c>
      <c r="F81" s="13">
        <v>4.9184499145990657</v>
      </c>
      <c r="G81" s="13">
        <v>4.3722925270010871</v>
      </c>
    </row>
    <row r="82" spans="1:7" ht="20.100000000000001" customHeight="1" x14ac:dyDescent="0.2">
      <c r="A82" s="86"/>
      <c r="B82" s="17" t="s">
        <v>166</v>
      </c>
      <c r="C82" s="5">
        <v>6.2656570777588572</v>
      </c>
      <c r="D82" s="5">
        <v>-4.5536670336754792</v>
      </c>
      <c r="E82" s="5">
        <v>5.4344867827282872</v>
      </c>
      <c r="F82" s="5">
        <v>1.3926871799697205</v>
      </c>
      <c r="G82" s="5">
        <v>0.61772733598803864</v>
      </c>
    </row>
    <row r="83" spans="1:7" ht="20.100000000000001" customHeight="1" x14ac:dyDescent="0.2">
      <c r="A83" s="86"/>
      <c r="B83" s="14" t="s">
        <v>167</v>
      </c>
      <c r="C83" s="9">
        <v>13.078648939070625</v>
      </c>
      <c r="D83" s="9">
        <v>-4.2620634484413999</v>
      </c>
      <c r="E83" s="9">
        <v>5.2917935392781112</v>
      </c>
      <c r="F83" s="9">
        <v>1.4711166737740422</v>
      </c>
      <c r="G83" s="9">
        <v>0.99319491129137294</v>
      </c>
    </row>
    <row r="84" spans="1:7" ht="20.100000000000001" customHeight="1" x14ac:dyDescent="0.2">
      <c r="A84" s="87"/>
      <c r="B84" s="18" t="s">
        <v>168</v>
      </c>
      <c r="C84" s="15">
        <v>21.94688105679019</v>
      </c>
      <c r="D84" s="15">
        <v>-1.5643948749343162</v>
      </c>
      <c r="E84" s="15">
        <v>4.4970952578931245</v>
      </c>
      <c r="F84" s="15">
        <v>1.8700656747634881</v>
      </c>
      <c r="G84" s="15">
        <v>1.4036088029520277</v>
      </c>
    </row>
    <row r="85" spans="1:7" ht="20.100000000000001" customHeight="1" x14ac:dyDescent="0.2">
      <c r="A85" s="85">
        <v>2023</v>
      </c>
      <c r="B85" s="12" t="s">
        <v>165</v>
      </c>
      <c r="C85" s="13">
        <v>9.1680463849266083</v>
      </c>
      <c r="D85" s="13">
        <v>-1.6073512682954205</v>
      </c>
      <c r="E85" s="13">
        <v>3.7340642969804216</v>
      </c>
      <c r="F85" s="13">
        <v>1.2605250726697603</v>
      </c>
      <c r="G85" s="13">
        <v>0.92397630814851084</v>
      </c>
    </row>
    <row r="86" spans="1:7" ht="20.100000000000001" customHeight="1" x14ac:dyDescent="0.2">
      <c r="A86" s="86"/>
      <c r="B86" s="17" t="s">
        <v>166</v>
      </c>
      <c r="C86" s="5">
        <v>0.56435210234111466</v>
      </c>
      <c r="D86" s="5">
        <v>-0.59894833717617502</v>
      </c>
      <c r="E86" s="5">
        <v>2.7515864070958962</v>
      </c>
      <c r="F86" s="5">
        <v>1.1192356767613099</v>
      </c>
      <c r="G86" s="5">
        <v>0.79116124994143</v>
      </c>
    </row>
    <row r="87" spans="1:7" ht="20.100000000000001" customHeight="1" x14ac:dyDescent="0.2">
      <c r="A87" s="86"/>
      <c r="B87" s="14" t="s">
        <v>167</v>
      </c>
      <c r="C87" s="9">
        <v>-7.8244054624026287</v>
      </c>
      <c r="D87" s="9">
        <v>-1.4461809816693427</v>
      </c>
      <c r="E87" s="9">
        <v>0.54827919047157891</v>
      </c>
      <c r="F87" s="9">
        <v>-0.52496393357726046</v>
      </c>
      <c r="G87" s="9">
        <v>-0.95899940734349709</v>
      </c>
    </row>
    <row r="88" spans="1:7" ht="20.100000000000001" customHeight="1" x14ac:dyDescent="0.2">
      <c r="A88" s="87"/>
      <c r="B88" s="18" t="s">
        <v>168</v>
      </c>
      <c r="C88" s="15">
        <v>-15.660255756493747</v>
      </c>
      <c r="D88" s="15">
        <v>-2.0540682763091511</v>
      </c>
      <c r="E88" s="15">
        <v>-1.2079640987598506</v>
      </c>
      <c r="F88" s="15">
        <v>-1.6788161715188932</v>
      </c>
      <c r="G88" s="15">
        <v>-1.8554305006581284</v>
      </c>
    </row>
    <row r="89" spans="1:7" ht="20.100000000000001" customHeight="1" x14ac:dyDescent="0.2">
      <c r="A89" s="85">
        <v>2024</v>
      </c>
      <c r="B89" s="12" t="s">
        <v>165</v>
      </c>
      <c r="C89" s="13">
        <v>1.8911155436931004</v>
      </c>
      <c r="D89" s="13">
        <v>-1.4885404409890057</v>
      </c>
      <c r="E89" s="13">
        <v>-1.3574499421197372</v>
      </c>
      <c r="F89" s="13">
        <v>-1.2389630740075153</v>
      </c>
      <c r="G89" s="13">
        <v>-1.3427561410247257</v>
      </c>
    </row>
    <row r="90" spans="1:7" ht="20.100000000000001" customHeight="1" x14ac:dyDescent="0.2">
      <c r="A90" s="86"/>
      <c r="B90" s="17" t="s">
        <v>166</v>
      </c>
      <c r="C90" s="5">
        <v>14.588894810378839</v>
      </c>
      <c r="D90" s="5">
        <v>-1.3179168629477767</v>
      </c>
      <c r="E90" s="5">
        <v>-0.53097991414013945</v>
      </c>
      <c r="F90" s="5">
        <v>-0.67419929153745839</v>
      </c>
      <c r="G90" s="5">
        <v>-0.69057358940063374</v>
      </c>
    </row>
    <row r="91" spans="1:7" ht="20.100000000000001" customHeight="1" x14ac:dyDescent="0.2">
      <c r="A91" s="86"/>
      <c r="B91" s="14" t="s">
        <v>167</v>
      </c>
      <c r="C91" s="9">
        <v>28.887761008095957</v>
      </c>
      <c r="D91" s="9">
        <v>-1.6410771601773289</v>
      </c>
      <c r="E91" s="9">
        <v>2.4133293515959942E-2</v>
      </c>
      <c r="F91" s="9">
        <v>-0.61472511982635369</v>
      </c>
      <c r="G91" s="9">
        <v>-0.3017847696498821</v>
      </c>
    </row>
    <row r="92" spans="1:7" ht="20.100000000000001" customHeight="1" x14ac:dyDescent="0.2">
      <c r="A92" s="86"/>
      <c r="B92" s="17" t="s">
        <v>168</v>
      </c>
      <c r="C92" s="5">
        <v>45.867144259707594</v>
      </c>
      <c r="D92" s="5">
        <v>-3.2263212459789137</v>
      </c>
      <c r="E92" s="5">
        <v>0.77621492535029368</v>
      </c>
      <c r="F92" s="5">
        <v>-0.83247428054153971</v>
      </c>
      <c r="G92" s="5">
        <v>-0.48785741429561158</v>
      </c>
    </row>
    <row r="93" spans="1:7" ht="20.100000000000001" customHeight="1" x14ac:dyDescent="0.25">
      <c r="A93" s="48" t="s">
        <v>164</v>
      </c>
      <c r="B93" s="49"/>
      <c r="C93" s="49"/>
      <c r="D93" s="49"/>
      <c r="E93" s="49"/>
      <c r="F93" s="49"/>
      <c r="G93" s="49"/>
    </row>
    <row r="94" spans="1:7" ht="20.100000000000001" customHeight="1" x14ac:dyDescent="0.25">
      <c r="A94" s="20" t="s">
        <v>50</v>
      </c>
    </row>
    <row r="95" spans="1:7" ht="20.100000000000001" customHeight="1" x14ac:dyDescent="0.2"/>
    <row r="96" spans="1:7" ht="20.100000000000001" customHeight="1" x14ac:dyDescent="0.2"/>
    <row r="97" ht="20.100000000000001" customHeight="1" x14ac:dyDescent="0.2"/>
  </sheetData>
  <mergeCells count="25">
    <mergeCell ref="A61:A64"/>
    <mergeCell ref="A25:A28"/>
    <mergeCell ref="A89:A92"/>
    <mergeCell ref="A5:G5"/>
    <mergeCell ref="A6:B7"/>
    <mergeCell ref="C6:F6"/>
    <mergeCell ref="G6:G7"/>
    <mergeCell ref="A9:A12"/>
    <mergeCell ref="A77:A80"/>
    <mergeCell ref="A65:A68"/>
    <mergeCell ref="A69:A72"/>
    <mergeCell ref="A73:A76"/>
    <mergeCell ref="A81:A84"/>
    <mergeCell ref="A85:A88"/>
    <mergeCell ref="A29:A32"/>
    <mergeCell ref="A41:A44"/>
    <mergeCell ref="A45:A48"/>
    <mergeCell ref="A49:A52"/>
    <mergeCell ref="A53:A56"/>
    <mergeCell ref="A57:A60"/>
    <mergeCell ref="A13:A16"/>
    <mergeCell ref="A17:A20"/>
    <mergeCell ref="A21:A24"/>
    <mergeCell ref="A33:A36"/>
    <mergeCell ref="A37:A40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Plan130"/>
  <dimension ref="A1:G104"/>
  <sheetViews>
    <sheetView showGridLines="0" workbookViewId="0">
      <pane ySplit="7" topLeftCell="A27" activePane="bottomLeft" state="frozen"/>
      <selection activeCell="A105" sqref="A105:XFD296"/>
      <selection pane="bottomLeft" activeCell="D92" sqref="D92:G99"/>
    </sheetView>
  </sheetViews>
  <sheetFormatPr defaultColWidth="8.796875" defaultRowHeight="14.25" x14ac:dyDescent="0.2"/>
  <cols>
    <col min="1" max="2" width="8.796875" style="20"/>
    <col min="3" max="7" width="15.19921875" style="20" customWidth="1"/>
    <col min="8" max="16384" width="8.796875" style="20"/>
  </cols>
  <sheetData>
    <row r="1" spans="1:7" s="19" customFormat="1" ht="20.100000000000001" customHeight="1" x14ac:dyDescent="0.25">
      <c r="A1" s="19" t="s">
        <v>180</v>
      </c>
    </row>
    <row r="2" spans="1:7" s="19" customFormat="1" ht="20.100000000000001" customHeight="1" x14ac:dyDescent="0.25">
      <c r="A2" s="19" t="s">
        <v>12</v>
      </c>
    </row>
    <row r="3" spans="1:7" s="19" customFormat="1" ht="20.100000000000001" customHeight="1" x14ac:dyDescent="0.25">
      <c r="A3" s="19" t="s">
        <v>13</v>
      </c>
    </row>
    <row r="4" spans="1:7" s="19" customFormat="1" ht="20.100000000000001" customHeight="1" x14ac:dyDescent="0.25">
      <c r="A4" s="19" t="s">
        <v>173</v>
      </c>
    </row>
    <row r="5" spans="1:7" ht="20.100000000000001" customHeight="1" x14ac:dyDescent="0.2">
      <c r="A5" s="88" t="s">
        <v>170</v>
      </c>
      <c r="B5" s="88"/>
      <c r="C5" s="88"/>
      <c r="D5" s="88"/>
      <c r="E5" s="88"/>
      <c r="F5" s="88"/>
      <c r="G5" s="88"/>
    </row>
    <row r="6" spans="1:7" ht="20.100000000000001" customHeight="1" x14ac:dyDescent="0.2">
      <c r="A6" s="89" t="s">
        <v>66</v>
      </c>
      <c r="B6" s="90"/>
      <c r="C6" s="93" t="s">
        <v>17</v>
      </c>
      <c r="D6" s="94"/>
      <c r="E6" s="94"/>
      <c r="F6" s="95"/>
      <c r="G6" s="96" t="s">
        <v>18</v>
      </c>
    </row>
    <row r="7" spans="1:7" ht="20.100000000000001" customHeight="1" x14ac:dyDescent="0.2">
      <c r="A7" s="91"/>
      <c r="B7" s="92"/>
      <c r="C7" s="11" t="s">
        <v>19</v>
      </c>
      <c r="D7" s="11" t="s">
        <v>20</v>
      </c>
      <c r="E7" s="11" t="s">
        <v>21</v>
      </c>
      <c r="F7" s="11" t="s">
        <v>22</v>
      </c>
      <c r="G7" s="97"/>
    </row>
    <row r="8" spans="1:7" ht="20.100000000000001" customHeight="1" x14ac:dyDescent="0.2">
      <c r="A8" s="85">
        <v>2002</v>
      </c>
      <c r="B8" s="12" t="s">
        <v>165</v>
      </c>
      <c r="C8" s="13">
        <v>3.9288665229444478E-2</v>
      </c>
      <c r="D8" s="13">
        <v>2.7090967587593706</v>
      </c>
      <c r="E8" s="13">
        <v>3.095418399136856</v>
      </c>
      <c r="F8" s="13">
        <v>5.8438038231256719</v>
      </c>
      <c r="G8" s="13">
        <v>6.8183051687608565</v>
      </c>
    </row>
    <row r="9" spans="1:7" ht="20.100000000000001" customHeight="1" x14ac:dyDescent="0.2">
      <c r="A9" s="86"/>
      <c r="B9" s="17" t="s">
        <v>166</v>
      </c>
      <c r="C9" s="5">
        <v>5.3778590271355758E-2</v>
      </c>
      <c r="D9" s="5">
        <v>2.5660736292263806</v>
      </c>
      <c r="E9" s="5">
        <v>3.2003210687300117</v>
      </c>
      <c r="F9" s="5">
        <v>5.8201732882277479</v>
      </c>
      <c r="G9" s="5">
        <v>6.9554343406289947</v>
      </c>
    </row>
    <row r="10" spans="1:7" ht="20.100000000000001" customHeight="1" x14ac:dyDescent="0.2">
      <c r="A10" s="86"/>
      <c r="B10" s="14" t="s">
        <v>167</v>
      </c>
      <c r="C10" s="9">
        <v>5.8038976793575364E-2</v>
      </c>
      <c r="D10" s="9">
        <v>2.6466557439403458</v>
      </c>
      <c r="E10" s="9">
        <v>3.3252185248484771</v>
      </c>
      <c r="F10" s="9">
        <v>6.0299132455823976</v>
      </c>
      <c r="G10" s="9">
        <v>7.295626021902919</v>
      </c>
    </row>
    <row r="11" spans="1:7" ht="20.100000000000001" customHeight="1" x14ac:dyDescent="0.2">
      <c r="A11" s="87"/>
      <c r="B11" s="18" t="s">
        <v>168</v>
      </c>
      <c r="C11" s="15">
        <v>7.8535352596842467E-2</v>
      </c>
      <c r="D11" s="15">
        <v>3.0881903966556927</v>
      </c>
      <c r="E11" s="15">
        <v>3.6587084451029637</v>
      </c>
      <c r="F11" s="15">
        <v>6.8254341943554984</v>
      </c>
      <c r="G11" s="15">
        <v>8.4315580167684239</v>
      </c>
    </row>
    <row r="12" spans="1:7" ht="20.100000000000001" customHeight="1" x14ac:dyDescent="0.2">
      <c r="A12" s="85">
        <v>2003</v>
      </c>
      <c r="B12" s="12" t="s">
        <v>165</v>
      </c>
      <c r="C12" s="13">
        <v>9.7157256675819426E-2</v>
      </c>
      <c r="D12" s="13">
        <v>3.141575770934891</v>
      </c>
      <c r="E12" s="13">
        <v>3.6968072143982553</v>
      </c>
      <c r="F12" s="13">
        <v>6.9355402420089654</v>
      </c>
      <c r="G12" s="13">
        <v>8.3213370101063848</v>
      </c>
    </row>
    <row r="13" spans="1:7" ht="20.100000000000001" customHeight="1" x14ac:dyDescent="0.2">
      <c r="A13" s="86"/>
      <c r="B13" s="17" t="s">
        <v>166</v>
      </c>
      <c r="C13" s="5">
        <v>9.2348783021727374E-2</v>
      </c>
      <c r="D13" s="5">
        <v>3.4734624150701086</v>
      </c>
      <c r="E13" s="5">
        <v>3.5225212457435058</v>
      </c>
      <c r="F13" s="5">
        <v>7.0883324438353421</v>
      </c>
      <c r="G13" s="5">
        <v>8.2696130999966488</v>
      </c>
    </row>
    <row r="14" spans="1:7" ht="20.100000000000001" customHeight="1" x14ac:dyDescent="0.2">
      <c r="A14" s="86"/>
      <c r="B14" s="14" t="s">
        <v>167</v>
      </c>
      <c r="C14" s="9">
        <v>7.1909751395147936E-2</v>
      </c>
      <c r="D14" s="9">
        <v>3.7438679270548412</v>
      </c>
      <c r="E14" s="9">
        <v>3.604510636026093</v>
      </c>
      <c r="F14" s="9">
        <v>7.4202883144760818</v>
      </c>
      <c r="G14" s="9">
        <v>8.4951543363272393</v>
      </c>
    </row>
    <row r="15" spans="1:7" ht="20.100000000000001" customHeight="1" x14ac:dyDescent="0.2">
      <c r="A15" s="87"/>
      <c r="B15" s="18" t="s">
        <v>168</v>
      </c>
      <c r="C15" s="15">
        <v>8.5258743574230245E-2</v>
      </c>
      <c r="D15" s="15">
        <v>3.9032272449031371</v>
      </c>
      <c r="E15" s="15">
        <v>4.2089297321321437</v>
      </c>
      <c r="F15" s="15">
        <v>8.1974157206095111</v>
      </c>
      <c r="G15" s="15">
        <v>9.6615451701757813</v>
      </c>
    </row>
    <row r="16" spans="1:7" ht="20.100000000000001" customHeight="1" x14ac:dyDescent="0.2">
      <c r="A16" s="85">
        <v>2004</v>
      </c>
      <c r="B16" s="12" t="s">
        <v>165</v>
      </c>
      <c r="C16" s="13">
        <v>5.7699320884446063E-2</v>
      </c>
      <c r="D16" s="13">
        <v>3.717269503859042</v>
      </c>
      <c r="E16" s="13">
        <v>3.9080082217401508</v>
      </c>
      <c r="F16" s="13">
        <v>7.6829770464836393</v>
      </c>
      <c r="G16" s="13">
        <v>9.1668328010349054</v>
      </c>
    </row>
    <row r="17" spans="1:7" ht="20.100000000000001" customHeight="1" x14ac:dyDescent="0.2">
      <c r="A17" s="86"/>
      <c r="B17" s="17" t="s">
        <v>166</v>
      </c>
      <c r="C17" s="5">
        <v>5.671808085910153E-2</v>
      </c>
      <c r="D17" s="5">
        <v>4.0286557482703795</v>
      </c>
      <c r="E17" s="5">
        <v>3.7711510193574505</v>
      </c>
      <c r="F17" s="5">
        <v>7.8565248484869317</v>
      </c>
      <c r="G17" s="5">
        <v>9.5051735943086886</v>
      </c>
    </row>
    <row r="18" spans="1:7" ht="20.100000000000001" customHeight="1" x14ac:dyDescent="0.2">
      <c r="A18" s="86"/>
      <c r="B18" s="14" t="s">
        <v>167</v>
      </c>
      <c r="C18" s="9">
        <v>5.4672323491852935E-2</v>
      </c>
      <c r="D18" s="9">
        <v>4.6047987205857019</v>
      </c>
      <c r="E18" s="9">
        <v>4.1455460091813778</v>
      </c>
      <c r="F18" s="9">
        <v>8.8050170532589327</v>
      </c>
      <c r="G18" s="9">
        <v>10.504007807461919</v>
      </c>
    </row>
    <row r="19" spans="1:7" ht="20.100000000000001" customHeight="1" x14ac:dyDescent="0.2">
      <c r="A19" s="87"/>
      <c r="B19" s="18" t="s">
        <v>168</v>
      </c>
      <c r="C19" s="15">
        <v>6.3404081403024962E-2</v>
      </c>
      <c r="D19" s="15">
        <v>4.6299735129782169</v>
      </c>
      <c r="E19" s="15">
        <v>4.2667070029527574</v>
      </c>
      <c r="F19" s="15">
        <v>8.9600845973339975</v>
      </c>
      <c r="G19" s="15">
        <v>10.969407549231089</v>
      </c>
    </row>
    <row r="20" spans="1:7" ht="20.100000000000001" customHeight="1" x14ac:dyDescent="0.2">
      <c r="A20" s="85">
        <v>2005</v>
      </c>
      <c r="B20" s="12" t="s">
        <v>165</v>
      </c>
      <c r="C20" s="13">
        <v>5.9591763411344929E-2</v>
      </c>
      <c r="D20" s="13">
        <v>3.9226192555186628</v>
      </c>
      <c r="E20" s="13">
        <v>4.1069039013474438</v>
      </c>
      <c r="F20" s="13">
        <v>8.089114920277451</v>
      </c>
      <c r="G20" s="13">
        <v>9.7964120136246802</v>
      </c>
    </row>
    <row r="21" spans="1:7" ht="20.100000000000001" customHeight="1" x14ac:dyDescent="0.2">
      <c r="A21" s="86"/>
      <c r="B21" s="17" t="s">
        <v>166</v>
      </c>
      <c r="C21" s="5">
        <v>6.1952948484914679E-2</v>
      </c>
      <c r="D21" s="5">
        <v>4.4319220031661599</v>
      </c>
      <c r="E21" s="5">
        <v>4.2946792328863044</v>
      </c>
      <c r="F21" s="5">
        <v>8.7885541845373769</v>
      </c>
      <c r="G21" s="5">
        <v>10.577689683963712</v>
      </c>
    </row>
    <row r="22" spans="1:7" ht="20.100000000000001" customHeight="1" x14ac:dyDescent="0.2">
      <c r="A22" s="86"/>
      <c r="B22" s="14" t="s">
        <v>167</v>
      </c>
      <c r="C22" s="9">
        <v>5.4325851346948568E-2</v>
      </c>
      <c r="D22" s="9">
        <v>4.6396448083359827</v>
      </c>
      <c r="E22" s="9">
        <v>4.4267324767307139</v>
      </c>
      <c r="F22" s="9">
        <v>9.1207031364136455</v>
      </c>
      <c r="G22" s="9">
        <v>10.789596890886468</v>
      </c>
    </row>
    <row r="23" spans="1:7" ht="20.100000000000001" customHeight="1" x14ac:dyDescent="0.2">
      <c r="A23" s="87"/>
      <c r="B23" s="18" t="s">
        <v>168</v>
      </c>
      <c r="C23" s="15">
        <v>5.50986129398763E-2</v>
      </c>
      <c r="D23" s="15">
        <v>4.4327563241906605</v>
      </c>
      <c r="E23" s="15">
        <v>4.9496692435041902</v>
      </c>
      <c r="F23" s="15">
        <v>9.4375241806347265</v>
      </c>
      <c r="G23" s="15">
        <v>11.357420740964928</v>
      </c>
    </row>
    <row r="24" spans="1:7" ht="20.100000000000001" customHeight="1" x14ac:dyDescent="0.2">
      <c r="A24" s="85">
        <v>2006</v>
      </c>
      <c r="B24" s="12" t="s">
        <v>165</v>
      </c>
      <c r="C24" s="13">
        <v>6.5154482672001746E-2</v>
      </c>
      <c r="D24" s="13">
        <v>3.7893237603476817</v>
      </c>
      <c r="E24" s="13">
        <v>4.8020870958568489</v>
      </c>
      <c r="F24" s="13">
        <v>8.6565653388765327</v>
      </c>
      <c r="G24" s="13">
        <v>10.498380658597535</v>
      </c>
    </row>
    <row r="25" spans="1:7" ht="20.100000000000001" customHeight="1" x14ac:dyDescent="0.2">
      <c r="A25" s="86"/>
      <c r="B25" s="17" t="s">
        <v>166</v>
      </c>
      <c r="C25" s="5">
        <v>6.7877265208915044E-2</v>
      </c>
      <c r="D25" s="5">
        <v>4.3722172961025159</v>
      </c>
      <c r="E25" s="5">
        <v>4.8022022970311307</v>
      </c>
      <c r="F25" s="5">
        <v>9.2422968583425611</v>
      </c>
      <c r="G25" s="5">
        <v>11.295868140123702</v>
      </c>
    </row>
    <row r="26" spans="1:7" ht="20.100000000000001" customHeight="1" x14ac:dyDescent="0.2">
      <c r="A26" s="86"/>
      <c r="B26" s="14" t="s">
        <v>167</v>
      </c>
      <c r="C26" s="9">
        <v>6.1672009068049649E-2</v>
      </c>
      <c r="D26" s="9">
        <v>4.6430740721100472</v>
      </c>
      <c r="E26" s="9">
        <v>4.7758959791858437</v>
      </c>
      <c r="F26" s="9">
        <v>9.480642060363941</v>
      </c>
      <c r="G26" s="9">
        <v>11.510493611689734</v>
      </c>
    </row>
    <row r="27" spans="1:7" ht="20.100000000000001" customHeight="1" x14ac:dyDescent="0.2">
      <c r="A27" s="87"/>
      <c r="B27" s="18" t="s">
        <v>168</v>
      </c>
      <c r="C27" s="15">
        <v>7.5362031539007154E-2</v>
      </c>
      <c r="D27" s="15">
        <v>4.6181579376765285</v>
      </c>
      <c r="E27" s="15">
        <v>5.4766576135791505</v>
      </c>
      <c r="F27" s="15">
        <v>10.170177582794686</v>
      </c>
      <c r="G27" s="15">
        <v>12.70267162135432</v>
      </c>
    </row>
    <row r="28" spans="1:7" ht="20.100000000000001" customHeight="1" x14ac:dyDescent="0.2">
      <c r="A28" s="85">
        <v>2007</v>
      </c>
      <c r="B28" s="12" t="s">
        <v>165</v>
      </c>
      <c r="C28" s="13">
        <v>7.9900818419910036E-2</v>
      </c>
      <c r="D28" s="13">
        <v>4.4419499617554905</v>
      </c>
      <c r="E28" s="13">
        <v>5.1327134699614456</v>
      </c>
      <c r="F28" s="13">
        <v>9.6545642501368487</v>
      </c>
      <c r="G28" s="13">
        <v>11.770187642853715</v>
      </c>
    </row>
    <row r="29" spans="1:7" ht="20.100000000000001" customHeight="1" x14ac:dyDescent="0.2">
      <c r="A29" s="86"/>
      <c r="B29" s="17" t="s">
        <v>166</v>
      </c>
      <c r="C29" s="5">
        <v>7.2808333932050065E-2</v>
      </c>
      <c r="D29" s="5">
        <v>5.0217451726763409</v>
      </c>
      <c r="E29" s="5">
        <v>5.2464470218025703</v>
      </c>
      <c r="F29" s="5">
        <v>10.341000528410961</v>
      </c>
      <c r="G29" s="5">
        <v>12.542463541300084</v>
      </c>
    </row>
    <row r="30" spans="1:7" ht="20.100000000000001" customHeight="1" x14ac:dyDescent="0.2">
      <c r="A30" s="86"/>
      <c r="B30" s="14" t="s">
        <v>167</v>
      </c>
      <c r="C30" s="9">
        <v>8.2317452280459197E-2</v>
      </c>
      <c r="D30" s="9">
        <v>5.6394913963953419</v>
      </c>
      <c r="E30" s="9">
        <v>5.6648902528180445</v>
      </c>
      <c r="F30" s="9">
        <v>11.386699101493845</v>
      </c>
      <c r="G30" s="9">
        <v>13.644080322609065</v>
      </c>
    </row>
    <row r="31" spans="1:7" ht="20.100000000000001" customHeight="1" x14ac:dyDescent="0.2">
      <c r="A31" s="87"/>
      <c r="B31" s="18" t="s">
        <v>168</v>
      </c>
      <c r="C31" s="15">
        <v>7.8307149746326771E-2</v>
      </c>
      <c r="D31" s="15">
        <v>5.6994473135244865</v>
      </c>
      <c r="E31" s="15">
        <v>6.2310281960900573</v>
      </c>
      <c r="F31" s="15">
        <v>12.00878265936087</v>
      </c>
      <c r="G31" s="15">
        <v>14.571496115888889</v>
      </c>
    </row>
    <row r="32" spans="1:7" ht="20.100000000000001" customHeight="1" x14ac:dyDescent="0.2">
      <c r="A32" s="85">
        <v>2008</v>
      </c>
      <c r="B32" s="12" t="s">
        <v>165</v>
      </c>
      <c r="C32" s="13">
        <v>5.1720105070751088E-2</v>
      </c>
      <c r="D32" s="13">
        <v>5.1535136499573815</v>
      </c>
      <c r="E32" s="13">
        <v>5.7935774216664235</v>
      </c>
      <c r="F32" s="13">
        <v>10.998811176694558</v>
      </c>
      <c r="G32" s="13">
        <v>13.474527815326594</v>
      </c>
    </row>
    <row r="33" spans="1:7" ht="20.100000000000001" customHeight="1" x14ac:dyDescent="0.2">
      <c r="A33" s="86"/>
      <c r="B33" s="17" t="s">
        <v>166</v>
      </c>
      <c r="C33" s="5">
        <v>5.8889280060824792E-2</v>
      </c>
      <c r="D33" s="5">
        <v>5.6573707385123395</v>
      </c>
      <c r="E33" s="5">
        <v>6.1372056370420278</v>
      </c>
      <c r="F33" s="5">
        <v>11.853465655615192</v>
      </c>
      <c r="G33" s="5">
        <v>14.566809227823315</v>
      </c>
    </row>
    <row r="34" spans="1:7" ht="20.100000000000001" customHeight="1" x14ac:dyDescent="0.2">
      <c r="A34" s="86"/>
      <c r="B34" s="14" t="s">
        <v>167</v>
      </c>
      <c r="C34" s="9">
        <v>5.2056455048257379E-2</v>
      </c>
      <c r="D34" s="9">
        <v>6.2552951346870342</v>
      </c>
      <c r="E34" s="9">
        <v>6.4215262673445652</v>
      </c>
      <c r="F34" s="9">
        <v>12.728877857079857</v>
      </c>
      <c r="G34" s="9">
        <v>15.473988869922271</v>
      </c>
    </row>
    <row r="35" spans="1:7" ht="20.100000000000001" customHeight="1" x14ac:dyDescent="0.2">
      <c r="A35" s="87"/>
      <c r="B35" s="18" t="s">
        <v>168</v>
      </c>
      <c r="C35" s="15">
        <v>6.950580213677357E-2</v>
      </c>
      <c r="D35" s="15">
        <v>6.241886439594456</v>
      </c>
      <c r="E35" s="15">
        <v>6.7589931880990566</v>
      </c>
      <c r="F35" s="15">
        <v>13.070385429830285</v>
      </c>
      <c r="G35" s="15">
        <v>16.24494457677697</v>
      </c>
    </row>
    <row r="36" spans="1:7" ht="20.100000000000001" customHeight="1" x14ac:dyDescent="0.2">
      <c r="A36" s="85">
        <v>2009</v>
      </c>
      <c r="B36" s="12" t="s">
        <v>165</v>
      </c>
      <c r="C36" s="13">
        <v>7.1459042627436395E-2</v>
      </c>
      <c r="D36" s="13">
        <v>5.2282217940783093</v>
      </c>
      <c r="E36" s="13">
        <v>6.7976869221247362</v>
      </c>
      <c r="F36" s="13">
        <v>12.09736775883048</v>
      </c>
      <c r="G36" s="13">
        <v>14.455860192497786</v>
      </c>
    </row>
    <row r="37" spans="1:7" ht="20.100000000000001" customHeight="1" x14ac:dyDescent="0.2">
      <c r="A37" s="86"/>
      <c r="B37" s="17" t="s">
        <v>166</v>
      </c>
      <c r="C37" s="5">
        <v>7.9844763226682103E-2</v>
      </c>
      <c r="D37" s="5">
        <v>5.8725629221683384</v>
      </c>
      <c r="E37" s="5">
        <v>6.7987373565517411</v>
      </c>
      <c r="F37" s="5">
        <v>12.751145041946762</v>
      </c>
      <c r="G37" s="5">
        <v>15.094343613640961</v>
      </c>
    </row>
    <row r="38" spans="1:7" ht="20.100000000000001" customHeight="1" x14ac:dyDescent="0.2">
      <c r="A38" s="86"/>
      <c r="B38" s="14" t="s">
        <v>167</v>
      </c>
      <c r="C38" s="9">
        <v>8.0704151871969831E-2</v>
      </c>
      <c r="D38" s="9">
        <v>6.4425825358056779</v>
      </c>
      <c r="E38" s="9">
        <v>6.8177920632641857</v>
      </c>
      <c r="F38" s="9">
        <v>13.341078750941833</v>
      </c>
      <c r="G38" s="9">
        <v>15.747190732891619</v>
      </c>
    </row>
    <row r="39" spans="1:7" ht="20.100000000000001" customHeight="1" x14ac:dyDescent="0.2">
      <c r="A39" s="87"/>
      <c r="B39" s="18" t="s">
        <v>168</v>
      </c>
      <c r="C39" s="15">
        <v>8.3125193218137397E-2</v>
      </c>
      <c r="D39" s="15">
        <v>6.3199584871299344</v>
      </c>
      <c r="E39" s="15">
        <v>7.7108944247800597</v>
      </c>
      <c r="F39" s="15">
        <v>14.113978105128131</v>
      </c>
      <c r="G39" s="15">
        <v>16.91776333519439</v>
      </c>
    </row>
    <row r="40" spans="1:7" ht="20.100000000000001" customHeight="1" x14ac:dyDescent="0.2">
      <c r="A40" s="85">
        <v>2010</v>
      </c>
      <c r="B40" s="12" t="s">
        <v>165</v>
      </c>
      <c r="C40" s="13">
        <v>7.5584746199106628E-2</v>
      </c>
      <c r="D40" s="13">
        <v>5.7293219599325793</v>
      </c>
      <c r="E40" s="13">
        <v>7.1574738697420264</v>
      </c>
      <c r="F40" s="13">
        <v>12.962380575873715</v>
      </c>
      <c r="G40" s="13">
        <v>15.69705231528877</v>
      </c>
    </row>
    <row r="41" spans="1:7" ht="20.100000000000001" customHeight="1" x14ac:dyDescent="0.2">
      <c r="A41" s="86"/>
      <c r="B41" s="17" t="s">
        <v>166</v>
      </c>
      <c r="C41" s="5">
        <v>8.101805717272105E-2</v>
      </c>
      <c r="D41" s="5">
        <v>6.3563987612098414</v>
      </c>
      <c r="E41" s="5">
        <v>7.6229766091746205</v>
      </c>
      <c r="F41" s="5">
        <v>14.060393427557184</v>
      </c>
      <c r="G41" s="5">
        <v>17.105905144862881</v>
      </c>
    </row>
    <row r="42" spans="1:7" ht="20.100000000000001" customHeight="1" x14ac:dyDescent="0.2">
      <c r="A42" s="86"/>
      <c r="B42" s="14" t="s">
        <v>167</v>
      </c>
      <c r="C42" s="9">
        <v>7.2466505107995544E-2</v>
      </c>
      <c r="D42" s="9">
        <v>6.4596458677610418</v>
      </c>
      <c r="E42" s="9">
        <v>7.0520847277252976</v>
      </c>
      <c r="F42" s="9">
        <v>13.584197100594336</v>
      </c>
      <c r="G42" s="9">
        <v>16.497133042506295</v>
      </c>
    </row>
    <row r="43" spans="1:7" ht="20.100000000000001" customHeight="1" x14ac:dyDescent="0.2">
      <c r="A43" s="87"/>
      <c r="B43" s="18" t="s">
        <v>168</v>
      </c>
      <c r="C43" s="15">
        <v>7.035067213485903E-2</v>
      </c>
      <c r="D43" s="15">
        <v>6.2752501280015354</v>
      </c>
      <c r="E43" s="15">
        <v>8.8433924827209633</v>
      </c>
      <c r="F43" s="15">
        <v>15.188993282857359</v>
      </c>
      <c r="G43" s="15">
        <v>18.686279703808506</v>
      </c>
    </row>
    <row r="44" spans="1:7" ht="20.100000000000001" customHeight="1" x14ac:dyDescent="0.2">
      <c r="A44" s="85">
        <v>2011</v>
      </c>
      <c r="B44" s="12" t="s">
        <v>165</v>
      </c>
      <c r="C44" s="13">
        <v>8.3650922502545605E-2</v>
      </c>
      <c r="D44" s="13">
        <v>5.7409996889962267</v>
      </c>
      <c r="E44" s="13">
        <v>8.3098092007421638</v>
      </c>
      <c r="F44" s="13">
        <v>14.134459812240936</v>
      </c>
      <c r="G44" s="13">
        <v>17.180136278381724</v>
      </c>
    </row>
    <row r="45" spans="1:7" ht="20.100000000000001" customHeight="1" x14ac:dyDescent="0.2">
      <c r="A45" s="86"/>
      <c r="B45" s="17" t="s">
        <v>166</v>
      </c>
      <c r="C45" s="5">
        <v>7.4596915104528677E-2</v>
      </c>
      <c r="D45" s="5">
        <v>5.9515436656655609</v>
      </c>
      <c r="E45" s="5">
        <v>8.3495392749913773</v>
      </c>
      <c r="F45" s="5">
        <v>14.375679855761467</v>
      </c>
      <c r="G45" s="5">
        <v>17.642232931705756</v>
      </c>
    </row>
    <row r="46" spans="1:7" ht="20.100000000000001" customHeight="1" x14ac:dyDescent="0.2">
      <c r="A46" s="86"/>
      <c r="B46" s="14" t="s">
        <v>167</v>
      </c>
      <c r="C46" s="9">
        <v>6.9627316533623945E-2</v>
      </c>
      <c r="D46" s="9">
        <v>6.3545144468426011</v>
      </c>
      <c r="E46" s="9">
        <v>8.4676097024016972</v>
      </c>
      <c r="F46" s="9">
        <v>14.891751465777924</v>
      </c>
      <c r="G46" s="9">
        <v>18.137067645757146</v>
      </c>
    </row>
    <row r="47" spans="1:7" ht="20.100000000000001" customHeight="1" x14ac:dyDescent="0.2">
      <c r="A47" s="87"/>
      <c r="B47" s="18" t="s">
        <v>168</v>
      </c>
      <c r="C47" s="15">
        <v>8.5752152005855897E-2</v>
      </c>
      <c r="D47" s="15">
        <v>5.9629598987606158</v>
      </c>
      <c r="E47" s="15">
        <v>9.530973883350736</v>
      </c>
      <c r="F47" s="15">
        <v>15.57968593411721</v>
      </c>
      <c r="G47" s="15">
        <v>19.28505657939915</v>
      </c>
    </row>
    <row r="48" spans="1:7" ht="20.100000000000001" customHeight="1" x14ac:dyDescent="0.2">
      <c r="A48" s="85">
        <v>2012</v>
      </c>
      <c r="B48" s="12" t="s">
        <v>165</v>
      </c>
      <c r="C48" s="13">
        <v>7.5873743276738403E-2</v>
      </c>
      <c r="D48" s="13">
        <v>5.0583819379625439</v>
      </c>
      <c r="E48" s="13">
        <v>9.1962187642020421</v>
      </c>
      <c r="F48" s="13">
        <v>14.330474445441324</v>
      </c>
      <c r="G48" s="13">
        <v>17.43070280772335</v>
      </c>
    </row>
    <row r="49" spans="1:7" ht="20.100000000000001" customHeight="1" x14ac:dyDescent="0.2">
      <c r="A49" s="86"/>
      <c r="B49" s="17" t="s">
        <v>166</v>
      </c>
      <c r="C49" s="5">
        <v>7.4667512853943629E-2</v>
      </c>
      <c r="D49" s="5">
        <v>5.8410016468493726</v>
      </c>
      <c r="E49" s="5">
        <v>9.3599359870425225</v>
      </c>
      <c r="F49" s="5">
        <v>15.275605146745837</v>
      </c>
      <c r="G49" s="5">
        <v>18.783139125250297</v>
      </c>
    </row>
    <row r="50" spans="1:7" ht="20.100000000000001" customHeight="1" x14ac:dyDescent="0.2">
      <c r="A50" s="86"/>
      <c r="B50" s="14" t="s">
        <v>167</v>
      </c>
      <c r="C50" s="9">
        <v>8.8960605787186744E-2</v>
      </c>
      <c r="D50" s="9">
        <v>6.5670727527096435</v>
      </c>
      <c r="E50" s="9">
        <v>9.4899213418243544</v>
      </c>
      <c r="F50" s="9">
        <v>16.145954700321184</v>
      </c>
      <c r="G50" s="9">
        <v>19.473681504680982</v>
      </c>
    </row>
    <row r="51" spans="1:7" ht="20.100000000000001" customHeight="1" x14ac:dyDescent="0.2">
      <c r="A51" s="87"/>
      <c r="B51" s="18" t="s">
        <v>168</v>
      </c>
      <c r="C51" s="15">
        <v>8.0107088411324093E-2</v>
      </c>
      <c r="D51" s="15">
        <v>6.2939821238697178</v>
      </c>
      <c r="E51" s="15">
        <v>10.776416807211147</v>
      </c>
      <c r="F51" s="15">
        <v>17.150506019492191</v>
      </c>
      <c r="G51" s="15">
        <v>21.302422123784613</v>
      </c>
    </row>
    <row r="52" spans="1:7" ht="20.100000000000001" customHeight="1" x14ac:dyDescent="0.2">
      <c r="A52" s="85">
        <v>2013</v>
      </c>
      <c r="B52" s="12" t="s">
        <v>165</v>
      </c>
      <c r="C52" s="13">
        <v>8.9298755234777899E-2</v>
      </c>
      <c r="D52" s="13">
        <v>5.272157911866608</v>
      </c>
      <c r="E52" s="13">
        <v>10.558241260262198</v>
      </c>
      <c r="F52" s="13">
        <v>15.919697927363586</v>
      </c>
      <c r="G52" s="13">
        <v>19.67362084054081</v>
      </c>
    </row>
    <row r="53" spans="1:7" ht="20.100000000000001" customHeight="1" x14ac:dyDescent="0.2">
      <c r="A53" s="86"/>
      <c r="B53" s="17" t="s">
        <v>166</v>
      </c>
      <c r="C53" s="5">
        <v>8.647588977778084E-2</v>
      </c>
      <c r="D53" s="5">
        <v>6.560226222947799</v>
      </c>
      <c r="E53" s="5">
        <v>10.778525518599583</v>
      </c>
      <c r="F53" s="5">
        <v>17.425227631325164</v>
      </c>
      <c r="G53" s="5">
        <v>21.176830469588033</v>
      </c>
    </row>
    <row r="54" spans="1:7" ht="20.100000000000001" customHeight="1" x14ac:dyDescent="0.2">
      <c r="A54" s="86"/>
      <c r="B54" s="14" t="s">
        <v>167</v>
      </c>
      <c r="C54" s="9">
        <v>8.4825473474723551E-2</v>
      </c>
      <c r="D54" s="9">
        <v>7.0494524284994169</v>
      </c>
      <c r="E54" s="9">
        <v>11.198840218003408</v>
      </c>
      <c r="F54" s="9">
        <v>18.333118119977545</v>
      </c>
      <c r="G54" s="9">
        <v>22.080413554408018</v>
      </c>
    </row>
    <row r="55" spans="1:7" ht="20.100000000000001" customHeight="1" x14ac:dyDescent="0.2">
      <c r="A55" s="87"/>
      <c r="B55" s="18" t="s">
        <v>168</v>
      </c>
      <c r="C55" s="15">
        <v>0.11351321707159415</v>
      </c>
      <c r="D55" s="15">
        <v>6.7869942918878685</v>
      </c>
      <c r="E55" s="15">
        <v>12.233580326669953</v>
      </c>
      <c r="F55" s="15">
        <v>19.134087835629416</v>
      </c>
      <c r="G55" s="15">
        <v>23.672306453639894</v>
      </c>
    </row>
    <row r="56" spans="1:7" ht="20.100000000000001" customHeight="1" x14ac:dyDescent="0.2">
      <c r="A56" s="85">
        <v>2014</v>
      </c>
      <c r="B56" s="12" t="s">
        <v>165</v>
      </c>
      <c r="C56" s="13">
        <v>9.6865161406364059E-2</v>
      </c>
      <c r="D56" s="13">
        <v>6.8045222796068643</v>
      </c>
      <c r="E56" s="13">
        <v>12.045398064183724</v>
      </c>
      <c r="F56" s="13">
        <v>18.946785505196953</v>
      </c>
      <c r="G56" s="13">
        <v>22.854222890664801</v>
      </c>
    </row>
    <row r="57" spans="1:7" ht="20.100000000000001" customHeight="1" x14ac:dyDescent="0.2">
      <c r="A57" s="86"/>
      <c r="B57" s="17" t="s">
        <v>166</v>
      </c>
      <c r="C57" s="5">
        <v>0.11399004500067446</v>
      </c>
      <c r="D57" s="5">
        <v>7.8006279023379186</v>
      </c>
      <c r="E57" s="5">
        <v>12.461863619061045</v>
      </c>
      <c r="F57" s="5">
        <v>20.376481566399637</v>
      </c>
      <c r="G57" s="5">
        <v>24.039913679656728</v>
      </c>
    </row>
    <row r="58" spans="1:7" ht="20.100000000000001" customHeight="1" x14ac:dyDescent="0.2">
      <c r="A58" s="86"/>
      <c r="B58" s="14" t="s">
        <v>167</v>
      </c>
      <c r="C58" s="9">
        <v>0.10748826723408815</v>
      </c>
      <c r="D58" s="9">
        <v>7.7760314199557845</v>
      </c>
      <c r="E58" s="9">
        <v>12.047036409913733</v>
      </c>
      <c r="F58" s="9">
        <v>19.930556097103608</v>
      </c>
      <c r="G58" s="9">
        <v>23.366198780897445</v>
      </c>
    </row>
    <row r="59" spans="1:7" ht="20.100000000000001" customHeight="1" x14ac:dyDescent="0.2">
      <c r="A59" s="87"/>
      <c r="B59" s="18" t="s">
        <v>168</v>
      </c>
      <c r="C59" s="15">
        <v>0.10208086418751065</v>
      </c>
      <c r="D59" s="15">
        <v>8.156216555870623</v>
      </c>
      <c r="E59" s="15">
        <v>12.904077396403052</v>
      </c>
      <c r="F59" s="15">
        <v>21.162374816461188</v>
      </c>
      <c r="G59" s="15">
        <v>25.578978225981992</v>
      </c>
    </row>
    <row r="60" spans="1:7" ht="20.100000000000001" customHeight="1" x14ac:dyDescent="0.2">
      <c r="A60" s="85">
        <v>2015</v>
      </c>
      <c r="B60" s="12" t="s">
        <v>165</v>
      </c>
      <c r="C60" s="13">
        <v>9.6507054369197612E-2</v>
      </c>
      <c r="D60" s="13">
        <v>7.1574580047189658</v>
      </c>
      <c r="E60" s="13">
        <v>12.553844221033613</v>
      </c>
      <c r="F60" s="13">
        <v>19.807809280121777</v>
      </c>
      <c r="G60" s="13">
        <v>23.064950737954888</v>
      </c>
    </row>
    <row r="61" spans="1:7" ht="20.100000000000001" customHeight="1" x14ac:dyDescent="0.2">
      <c r="A61" s="86"/>
      <c r="B61" s="17" t="s">
        <v>166</v>
      </c>
      <c r="C61" s="5">
        <v>0.11293582250249465</v>
      </c>
      <c r="D61" s="5">
        <v>7.8175978459936877</v>
      </c>
      <c r="E61" s="5">
        <v>12.68051497036585</v>
      </c>
      <c r="F61" s="5">
        <v>20.61104863886203</v>
      </c>
      <c r="G61" s="5">
        <v>23.975725563698347</v>
      </c>
    </row>
    <row r="62" spans="1:7" ht="20.100000000000001" customHeight="1" x14ac:dyDescent="0.2">
      <c r="A62" s="86"/>
      <c r="B62" s="14" t="s">
        <v>167</v>
      </c>
      <c r="C62" s="9">
        <v>9.1153626417960723E-2</v>
      </c>
      <c r="D62" s="9">
        <v>8.1421086630837713</v>
      </c>
      <c r="E62" s="9">
        <v>12.603535678331729</v>
      </c>
      <c r="F62" s="9">
        <v>20.836797967833462</v>
      </c>
      <c r="G62" s="9">
        <v>24.299034132664762</v>
      </c>
    </row>
    <row r="63" spans="1:7" ht="20.100000000000001" customHeight="1" x14ac:dyDescent="0.2">
      <c r="A63" s="87"/>
      <c r="B63" s="18" t="s">
        <v>168</v>
      </c>
      <c r="C63" s="15">
        <v>8.3799442310546438E-2</v>
      </c>
      <c r="D63" s="15">
        <v>8.2441844285433525</v>
      </c>
      <c r="E63" s="15">
        <v>13.962291213910804</v>
      </c>
      <c r="F63" s="15">
        <v>22.290275084764705</v>
      </c>
      <c r="G63" s="15">
        <v>26.529524565120571</v>
      </c>
    </row>
    <row r="64" spans="1:7" ht="20.100000000000001" customHeight="1" x14ac:dyDescent="0.2">
      <c r="A64" s="85">
        <v>2016</v>
      </c>
      <c r="B64" s="12" t="s">
        <v>165</v>
      </c>
      <c r="C64" s="13">
        <v>0.11002776286525824</v>
      </c>
      <c r="D64" s="13">
        <v>8.3890590444158235</v>
      </c>
      <c r="E64" s="13">
        <v>12.698565694666719</v>
      </c>
      <c r="F64" s="13">
        <v>21.197652501947797</v>
      </c>
      <c r="G64" s="13">
        <v>24.54616956283586</v>
      </c>
    </row>
    <row r="65" spans="1:7" ht="20.100000000000001" customHeight="1" x14ac:dyDescent="0.2">
      <c r="A65" s="86"/>
      <c r="B65" s="17" t="s">
        <v>166</v>
      </c>
      <c r="C65" s="5">
        <v>0.11947233970402961</v>
      </c>
      <c r="D65" s="5">
        <v>9.0231825485606354</v>
      </c>
      <c r="E65" s="5">
        <v>13.00846606987602</v>
      </c>
      <c r="F65" s="5">
        <v>22.151120958140687</v>
      </c>
      <c r="G65" s="5">
        <v>25.310129449242645</v>
      </c>
    </row>
    <row r="66" spans="1:7" ht="20.100000000000001" customHeight="1" x14ac:dyDescent="0.2">
      <c r="A66" s="86"/>
      <c r="B66" s="14" t="s">
        <v>167</v>
      </c>
      <c r="C66" s="9">
        <v>0.10866490495890908</v>
      </c>
      <c r="D66" s="9">
        <v>10.00681221163094</v>
      </c>
      <c r="E66" s="9">
        <v>13.114724147306136</v>
      </c>
      <c r="F66" s="9">
        <v>23.230201263895989</v>
      </c>
      <c r="G66" s="9">
        <v>26.173369051324404</v>
      </c>
    </row>
    <row r="67" spans="1:7" ht="20.100000000000001" customHeight="1" x14ac:dyDescent="0.2">
      <c r="A67" s="87"/>
      <c r="B67" s="18" t="s">
        <v>168</v>
      </c>
      <c r="C67" s="15">
        <v>0.10488245589338356</v>
      </c>
      <c r="D67" s="15">
        <v>9.398994561002187</v>
      </c>
      <c r="E67" s="15">
        <v>14.643960615810396</v>
      </c>
      <c r="F67" s="15">
        <v>24.147837632705965</v>
      </c>
      <c r="G67" s="15">
        <v>28.213764998291015</v>
      </c>
    </row>
    <row r="68" spans="1:7" ht="20.100000000000001" customHeight="1" x14ac:dyDescent="0.2">
      <c r="A68" s="85">
        <v>2017</v>
      </c>
      <c r="B68" s="12" t="s">
        <v>165</v>
      </c>
      <c r="C68" s="13">
        <v>0.1069952383858979</v>
      </c>
      <c r="D68" s="13">
        <v>8.1114432409615063</v>
      </c>
      <c r="E68" s="13">
        <v>13.822594421938195</v>
      </c>
      <c r="F68" s="13">
        <v>22.0410329012856</v>
      </c>
      <c r="G68" s="13">
        <v>25.692070473487274</v>
      </c>
    </row>
    <row r="69" spans="1:7" ht="20.100000000000001" customHeight="1" x14ac:dyDescent="0.2">
      <c r="A69" s="86"/>
      <c r="B69" s="17" t="s">
        <v>166</v>
      </c>
      <c r="C69" s="5">
        <v>0.11337962029535723</v>
      </c>
      <c r="D69" s="5">
        <v>8.8437040879649906</v>
      </c>
      <c r="E69" s="5">
        <v>14.042896917730712</v>
      </c>
      <c r="F69" s="5">
        <v>22.999980625991061</v>
      </c>
      <c r="G69" s="5">
        <v>26.465102831449187</v>
      </c>
    </row>
    <row r="70" spans="1:7" ht="20.100000000000001" customHeight="1" x14ac:dyDescent="0.2">
      <c r="A70" s="86"/>
      <c r="B70" s="14" t="s">
        <v>167</v>
      </c>
      <c r="C70" s="9">
        <v>9.384258790755623E-2</v>
      </c>
      <c r="D70" s="9">
        <v>10.258298229777589</v>
      </c>
      <c r="E70" s="9">
        <v>14.086054629088208</v>
      </c>
      <c r="F70" s="9">
        <v>24.438195446773353</v>
      </c>
      <c r="G70" s="9">
        <v>27.773714266917853</v>
      </c>
    </row>
    <row r="71" spans="1:7" ht="20.100000000000001" customHeight="1" x14ac:dyDescent="0.2">
      <c r="A71" s="87"/>
      <c r="B71" s="18" t="s">
        <v>168</v>
      </c>
      <c r="C71" s="15">
        <v>0.10029255653055506</v>
      </c>
      <c r="D71" s="15">
        <v>10.195709265206542</v>
      </c>
      <c r="E71" s="15">
        <v>15.109151598292373</v>
      </c>
      <c r="F71" s="15">
        <v>25.405153420029471</v>
      </c>
      <c r="G71" s="15">
        <v>29.410161523894935</v>
      </c>
    </row>
    <row r="72" spans="1:7" ht="20.100000000000001" customHeight="1" x14ac:dyDescent="0.2">
      <c r="A72" s="85">
        <v>2018</v>
      </c>
      <c r="B72" s="12" t="s">
        <v>165</v>
      </c>
      <c r="C72" s="13">
        <v>9.5154398352714747E-2</v>
      </c>
      <c r="D72" s="13">
        <v>9.0793093897429422</v>
      </c>
      <c r="E72" s="13">
        <v>15.028752864350706</v>
      </c>
      <c r="F72" s="13">
        <v>24.203216652446368</v>
      </c>
      <c r="G72" s="13">
        <v>28.403044965157672</v>
      </c>
    </row>
    <row r="73" spans="1:7" ht="20.100000000000001" customHeight="1" x14ac:dyDescent="0.2">
      <c r="A73" s="86"/>
      <c r="B73" s="17" t="s">
        <v>166</v>
      </c>
      <c r="C73" s="5">
        <v>8.9473308534727139E-2</v>
      </c>
      <c r="D73" s="5">
        <v>10.975014657076265</v>
      </c>
      <c r="E73" s="5">
        <v>15.092139662253897</v>
      </c>
      <c r="F73" s="5">
        <v>26.156627627864886</v>
      </c>
      <c r="G73" s="5">
        <v>30.109864008398212</v>
      </c>
    </row>
    <row r="74" spans="1:7" ht="20.100000000000001" customHeight="1" x14ac:dyDescent="0.2">
      <c r="A74" s="86"/>
      <c r="B74" s="14" t="s">
        <v>167</v>
      </c>
      <c r="C74" s="9">
        <v>9.9869781211907163E-2</v>
      </c>
      <c r="D74" s="9">
        <v>12.422724323064379</v>
      </c>
      <c r="E74" s="9">
        <v>15.813814104636267</v>
      </c>
      <c r="F74" s="9">
        <v>28.336408208912552</v>
      </c>
      <c r="G74" s="9">
        <v>32.168429157462711</v>
      </c>
    </row>
    <row r="75" spans="1:7" ht="20.100000000000001" customHeight="1" x14ac:dyDescent="0.2">
      <c r="A75" s="87"/>
      <c r="B75" s="18" t="s">
        <v>168</v>
      </c>
      <c r="C75" s="15">
        <v>9.3349202823584665E-2</v>
      </c>
      <c r="D75" s="15">
        <v>11.528601850210746</v>
      </c>
      <c r="E75" s="15">
        <v>17.192035669879086</v>
      </c>
      <c r="F75" s="15">
        <v>28.813986722913423</v>
      </c>
      <c r="G75" s="15">
        <v>33.304204661471772</v>
      </c>
    </row>
    <row r="76" spans="1:7" ht="20.100000000000001" customHeight="1" x14ac:dyDescent="0.2">
      <c r="A76" s="85">
        <v>2019</v>
      </c>
      <c r="B76" s="12" t="s">
        <v>165</v>
      </c>
      <c r="C76" s="13">
        <v>9.4344722768888042E-2</v>
      </c>
      <c r="D76" s="13">
        <v>10.621386320617512</v>
      </c>
      <c r="E76" s="13">
        <v>16.515213627078118</v>
      </c>
      <c r="F76" s="13">
        <v>27.23094467046452</v>
      </c>
      <c r="G76" s="13">
        <v>31.494993527857094</v>
      </c>
    </row>
    <row r="77" spans="1:7" ht="20.100000000000001" customHeight="1" x14ac:dyDescent="0.2">
      <c r="A77" s="86"/>
      <c r="B77" s="17" t="s">
        <v>166</v>
      </c>
      <c r="C77" s="5">
        <v>9.9854496685325547E-2</v>
      </c>
      <c r="D77" s="5">
        <v>12.363097699429773</v>
      </c>
      <c r="E77" s="5">
        <v>16.592414194376431</v>
      </c>
      <c r="F77" s="5">
        <v>29.055366390491528</v>
      </c>
      <c r="G77" s="5">
        <v>32.931292985614213</v>
      </c>
    </row>
    <row r="78" spans="1:7" ht="20.100000000000001" customHeight="1" x14ac:dyDescent="0.2">
      <c r="A78" s="86"/>
      <c r="B78" s="14" t="s">
        <v>167</v>
      </c>
      <c r="C78" s="9">
        <v>8.8804029188116779E-2</v>
      </c>
      <c r="D78" s="9">
        <v>12.373199455334476</v>
      </c>
      <c r="E78" s="9">
        <v>16.705987489870928</v>
      </c>
      <c r="F78" s="9">
        <v>29.167990974393522</v>
      </c>
      <c r="G78" s="9">
        <v>32.805998964691888</v>
      </c>
    </row>
    <row r="79" spans="1:7" ht="20.100000000000001" customHeight="1" x14ac:dyDescent="0.2">
      <c r="A79" s="87"/>
      <c r="B79" s="18" t="s">
        <v>168</v>
      </c>
      <c r="C79" s="15">
        <v>0.10044962361580431</v>
      </c>
      <c r="D79" s="15">
        <v>11.508068336964744</v>
      </c>
      <c r="E79" s="15">
        <v>17.902133110630459</v>
      </c>
      <c r="F79" s="15">
        <v>29.510651071211008</v>
      </c>
      <c r="G79" s="15">
        <v>34.455984237192311</v>
      </c>
    </row>
    <row r="80" spans="1:7" ht="20.100000000000001" customHeight="1" x14ac:dyDescent="0.2">
      <c r="A80" s="85">
        <v>2020</v>
      </c>
      <c r="B80" s="12" t="s">
        <v>165</v>
      </c>
      <c r="C80" s="13">
        <v>0.13359000934336754</v>
      </c>
      <c r="D80" s="13">
        <v>9.6699727959824084</v>
      </c>
      <c r="E80" s="13">
        <v>16.787869866797642</v>
      </c>
      <c r="F80" s="13">
        <v>26.591432672123418</v>
      </c>
      <c r="G80" s="13">
        <v>30.901530758221224</v>
      </c>
    </row>
    <row r="81" spans="1:7" ht="20.100000000000001" customHeight="1" x14ac:dyDescent="0.2">
      <c r="A81" s="86"/>
      <c r="B81" s="17" t="s">
        <v>166</v>
      </c>
      <c r="C81" s="5">
        <v>0.13779966275730268</v>
      </c>
      <c r="D81" s="5">
        <v>8.0486897429221358</v>
      </c>
      <c r="E81" s="5">
        <v>15.258543465431364</v>
      </c>
      <c r="F81" s="5">
        <v>23.445032871110804</v>
      </c>
      <c r="G81" s="5">
        <v>26.342595615436746</v>
      </c>
    </row>
    <row r="82" spans="1:7" ht="20.100000000000001" customHeight="1" x14ac:dyDescent="0.2">
      <c r="A82" s="86"/>
      <c r="B82" s="14" t="s">
        <v>167</v>
      </c>
      <c r="C82" s="9">
        <v>0.14752763547638889</v>
      </c>
      <c r="D82" s="9">
        <v>10.697677609332525</v>
      </c>
      <c r="E82" s="9">
        <v>16.14786595701662</v>
      </c>
      <c r="F82" s="9">
        <v>26.993071201825529</v>
      </c>
      <c r="G82" s="9">
        <v>30.895463588912101</v>
      </c>
    </row>
    <row r="83" spans="1:7" ht="20.100000000000001" customHeight="1" x14ac:dyDescent="0.2">
      <c r="A83" s="87"/>
      <c r="B83" s="18" t="s">
        <v>168</v>
      </c>
      <c r="C83" s="15">
        <v>0.15321142779442712</v>
      </c>
      <c r="D83" s="15">
        <v>11.432327531514604</v>
      </c>
      <c r="E83" s="15">
        <v>17.479872229311873</v>
      </c>
      <c r="F83" s="15">
        <v>29.065411188620903</v>
      </c>
      <c r="G83" s="15">
        <v>33.807246241061328</v>
      </c>
    </row>
    <row r="84" spans="1:7" ht="20.100000000000001" customHeight="1" x14ac:dyDescent="0.2">
      <c r="A84" s="85">
        <v>2021</v>
      </c>
      <c r="B84" s="12" t="s">
        <v>165</v>
      </c>
      <c r="C84" s="13">
        <v>0.17983821594130481</v>
      </c>
      <c r="D84" s="13">
        <v>12.776784769780766</v>
      </c>
      <c r="E84" s="13">
        <v>17.94509030549936</v>
      </c>
      <c r="F84" s="13">
        <v>30.901713291221434</v>
      </c>
      <c r="G84" s="13">
        <v>36.18140821631421</v>
      </c>
    </row>
    <row r="85" spans="1:7" ht="20.100000000000001" customHeight="1" x14ac:dyDescent="0.2">
      <c r="A85" s="86"/>
      <c r="B85" s="17" t="s">
        <v>166</v>
      </c>
      <c r="C85" s="5">
        <v>0.15860433185856959</v>
      </c>
      <c r="D85" s="5">
        <v>14.67622471214103</v>
      </c>
      <c r="E85" s="5">
        <v>18.200422068288475</v>
      </c>
      <c r="F85" s="5">
        <v>33.03525111228808</v>
      </c>
      <c r="G85" s="5">
        <v>37.795055348923604</v>
      </c>
    </row>
    <row r="86" spans="1:7" ht="20.100000000000001" customHeight="1" x14ac:dyDescent="0.2">
      <c r="A86" s="86"/>
      <c r="B86" s="14" t="s">
        <v>167</v>
      </c>
      <c r="C86" s="9">
        <v>0.15046167626649989</v>
      </c>
      <c r="D86" s="9">
        <v>16.522010391794829</v>
      </c>
      <c r="E86" s="9">
        <v>18.597431613048141</v>
      </c>
      <c r="F86" s="9">
        <v>35.269903681109476</v>
      </c>
      <c r="G86" s="9">
        <v>39.867953572357031</v>
      </c>
    </row>
    <row r="87" spans="1:7" ht="20.100000000000001" customHeight="1" x14ac:dyDescent="0.2">
      <c r="A87" s="87"/>
      <c r="B87" s="18" t="s">
        <v>168</v>
      </c>
      <c r="C87" s="15">
        <v>0.1376223405760785</v>
      </c>
      <c r="D87" s="15">
        <v>17.208638168340467</v>
      </c>
      <c r="E87" s="15">
        <v>20.457656314752072</v>
      </c>
      <c r="F87" s="15">
        <v>37.803916823668615</v>
      </c>
      <c r="G87" s="15">
        <v>43.48650156705974</v>
      </c>
    </row>
    <row r="88" spans="1:7" ht="20.100000000000001" customHeight="1" x14ac:dyDescent="0.2">
      <c r="A88" s="85">
        <v>2022</v>
      </c>
      <c r="B88" s="12" t="s">
        <v>165</v>
      </c>
      <c r="C88" s="13">
        <v>0.2021463898123888</v>
      </c>
      <c r="D88" s="13">
        <v>18.954919291215784</v>
      </c>
      <c r="E88" s="13">
        <v>19.625414599575137</v>
      </c>
      <c r="F88" s="13">
        <v>38.782480280603302</v>
      </c>
      <c r="G88" s="13">
        <v>43.027760671830876</v>
      </c>
    </row>
    <row r="89" spans="1:7" ht="20.100000000000001" customHeight="1" x14ac:dyDescent="0.2">
      <c r="A89" s="86"/>
      <c r="B89" s="17" t="s">
        <v>166</v>
      </c>
      <c r="C89" s="5">
        <v>0.18086492244299571</v>
      </c>
      <c r="D89" s="5">
        <v>21.349546380392024</v>
      </c>
      <c r="E89" s="5">
        <v>21.335956393390955</v>
      </c>
      <c r="F89" s="5">
        <v>42.866367696225971</v>
      </c>
      <c r="G89" s="5">
        <v>46.635427321887747</v>
      </c>
    </row>
    <row r="90" spans="1:7" ht="20.100000000000001" customHeight="1" x14ac:dyDescent="0.2">
      <c r="A90" s="86"/>
      <c r="B90" s="14" t="s">
        <v>167</v>
      </c>
      <c r="C90" s="9">
        <v>0.13465661561958442</v>
      </c>
      <c r="D90" s="9">
        <v>23.108459260600632</v>
      </c>
      <c r="E90" s="9">
        <v>22.192568539309633</v>
      </c>
      <c r="F90" s="9">
        <v>45.435684415529849</v>
      </c>
      <c r="G90" s="9">
        <v>48.690263876663046</v>
      </c>
    </row>
    <row r="91" spans="1:7" ht="20.100000000000001" customHeight="1" x14ac:dyDescent="0.2">
      <c r="A91" s="87"/>
      <c r="B91" s="18" t="s">
        <v>168</v>
      </c>
      <c r="C91" s="15">
        <v>0.15065843324800887</v>
      </c>
      <c r="D91" s="15">
        <v>19.791404998206119</v>
      </c>
      <c r="E91" s="15">
        <v>23.00213139129729</v>
      </c>
      <c r="F91" s="15">
        <v>42.94419482275142</v>
      </c>
      <c r="G91" s="15">
        <v>46.551153293902772</v>
      </c>
    </row>
    <row r="92" spans="1:7" ht="20.100000000000001" customHeight="1" x14ac:dyDescent="0.2">
      <c r="A92" s="85">
        <v>2023</v>
      </c>
      <c r="B92" s="12" t="s">
        <v>165</v>
      </c>
      <c r="C92" s="13">
        <v>0.14799828093261791</v>
      </c>
      <c r="D92" s="13">
        <v>16.640526555417409</v>
      </c>
      <c r="E92" s="13">
        <v>21.624429417036247</v>
      </c>
      <c r="F92" s="13">
        <v>38.412954253386275</v>
      </c>
      <c r="G92" s="13">
        <v>41.698350603671805</v>
      </c>
    </row>
    <row r="93" spans="1:7" ht="20.100000000000001" customHeight="1" x14ac:dyDescent="0.2">
      <c r="A93" s="86"/>
      <c r="B93" s="17" t="s">
        <v>166</v>
      </c>
      <c r="C93" s="5">
        <v>0.15355440705883264</v>
      </c>
      <c r="D93" s="5">
        <v>17.418857017120704</v>
      </c>
      <c r="E93" s="5">
        <v>21.869840820637958</v>
      </c>
      <c r="F93" s="5">
        <v>39.442252244817496</v>
      </c>
      <c r="G93" s="5">
        <v>42.889043688723639</v>
      </c>
    </row>
    <row r="94" spans="1:7" ht="20.100000000000001" customHeight="1" x14ac:dyDescent="0.2">
      <c r="A94" s="86"/>
      <c r="B94" s="14" t="s">
        <v>167</v>
      </c>
      <c r="C94" s="9">
        <v>0.11151561270140947</v>
      </c>
      <c r="D94" s="9">
        <v>18.979835070309527</v>
      </c>
      <c r="E94" s="9">
        <v>22.640485429962823</v>
      </c>
      <c r="F94" s="9">
        <v>41.73183611297376</v>
      </c>
      <c r="G94" s="9">
        <v>44.933833908854588</v>
      </c>
    </row>
    <row r="95" spans="1:7" ht="20.100000000000001" customHeight="1" x14ac:dyDescent="0.2">
      <c r="A95" s="87"/>
      <c r="B95" s="18" t="s">
        <v>168</v>
      </c>
      <c r="C95" s="15">
        <v>0.12713575488717974</v>
      </c>
      <c r="D95" s="15">
        <v>18.052141813049513</v>
      </c>
      <c r="E95" s="15">
        <v>23.972465563034692</v>
      </c>
      <c r="F95" s="15">
        <v>42.151743130971383</v>
      </c>
      <c r="G95" s="15">
        <v>46.359774380656596</v>
      </c>
    </row>
    <row r="96" spans="1:7" ht="20.100000000000001" customHeight="1" x14ac:dyDescent="0.2">
      <c r="A96" s="85">
        <v>2024</v>
      </c>
      <c r="B96" s="12" t="s">
        <v>165</v>
      </c>
      <c r="C96" s="13">
        <v>0.22193971787198044</v>
      </c>
      <c r="D96" s="13">
        <v>15.317057152803731</v>
      </c>
      <c r="E96" s="13">
        <v>22.165716907738464</v>
      </c>
      <c r="F96" s="13">
        <v>37.704713778414174</v>
      </c>
      <c r="G96" s="13">
        <v>41.565230884769896</v>
      </c>
    </row>
    <row r="97" spans="1:7" ht="20.100000000000001" customHeight="1" x14ac:dyDescent="0.2">
      <c r="A97" s="86"/>
      <c r="B97" s="17" t="s">
        <v>166</v>
      </c>
      <c r="C97" s="5">
        <v>0.19401067153027116</v>
      </c>
      <c r="D97" s="5">
        <v>17.939938953002844</v>
      </c>
      <c r="E97" s="5">
        <v>23.379203696387602</v>
      </c>
      <c r="F97" s="5">
        <v>41.513153320920722</v>
      </c>
      <c r="G97" s="5">
        <v>45.60364393350897</v>
      </c>
    </row>
    <row r="98" spans="1:7" ht="20.100000000000001" customHeight="1" x14ac:dyDescent="0.2">
      <c r="A98" s="86"/>
      <c r="B98" s="14" t="s">
        <v>167</v>
      </c>
      <c r="C98" s="9">
        <v>0.14481709072295432</v>
      </c>
      <c r="D98" s="9">
        <v>18.878691683521158</v>
      </c>
      <c r="E98" s="9">
        <v>24.181126788101167</v>
      </c>
      <c r="F98" s="9">
        <v>43.204635562345281</v>
      </c>
      <c r="G98" s="9">
        <v>47.238249665478051</v>
      </c>
    </row>
    <row r="99" spans="1:7" ht="20.100000000000001" customHeight="1" x14ac:dyDescent="0.2">
      <c r="A99" s="87"/>
      <c r="B99" s="18" t="s">
        <v>168</v>
      </c>
      <c r="C99" s="15">
        <v>0.2205874523587979</v>
      </c>
      <c r="D99" s="15">
        <v>17.274902514379946</v>
      </c>
      <c r="E99" s="15">
        <v>24.870839927598901</v>
      </c>
      <c r="F99" s="15">
        <v>42.366329894337639</v>
      </c>
      <c r="G99" s="15">
        <v>47.335429537445293</v>
      </c>
    </row>
    <row r="100" spans="1:7" ht="20.100000000000001" customHeight="1" x14ac:dyDescent="0.25">
      <c r="A100" s="27" t="s">
        <v>164</v>
      </c>
      <c r="B100" s="21"/>
      <c r="C100" s="21"/>
      <c r="D100" s="21"/>
      <c r="E100" s="21"/>
      <c r="F100" s="21"/>
      <c r="G100" s="21"/>
    </row>
    <row r="101" spans="1:7" ht="20.100000000000001" customHeight="1" x14ac:dyDescent="0.25">
      <c r="A101" s="20" t="s">
        <v>50</v>
      </c>
    </row>
    <row r="102" spans="1:7" ht="20.100000000000001" customHeight="1" x14ac:dyDescent="0.2"/>
    <row r="103" spans="1:7" ht="20.100000000000001" customHeight="1" x14ac:dyDescent="0.2"/>
    <row r="104" spans="1:7" ht="20.100000000000001" customHeight="1" x14ac:dyDescent="0.2"/>
  </sheetData>
  <mergeCells count="27">
    <mergeCell ref="A84:A87"/>
    <mergeCell ref="A92:A95"/>
    <mergeCell ref="A96:A99"/>
    <mergeCell ref="A88:A91"/>
    <mergeCell ref="A5:G5"/>
    <mergeCell ref="A6:B7"/>
    <mergeCell ref="C6:F6"/>
    <mergeCell ref="G6:G7"/>
    <mergeCell ref="A8:A11"/>
    <mergeCell ref="A80:A83"/>
    <mergeCell ref="A12:A15"/>
    <mergeCell ref="A16:A19"/>
    <mergeCell ref="A20:A23"/>
    <mergeCell ref="A24:A27"/>
    <mergeCell ref="A36:A39"/>
    <mergeCell ref="A32:A35"/>
    <mergeCell ref="A28:A31"/>
    <mergeCell ref="A60:A63"/>
    <mergeCell ref="A64:A67"/>
    <mergeCell ref="A68:A71"/>
    <mergeCell ref="A72:A75"/>
    <mergeCell ref="A76:A79"/>
    <mergeCell ref="A40:A43"/>
    <mergeCell ref="A44:A47"/>
    <mergeCell ref="A48:A51"/>
    <mergeCell ref="A52:A55"/>
    <mergeCell ref="A56:A59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Plan150"/>
  <dimension ref="A1:E101"/>
  <sheetViews>
    <sheetView workbookViewId="0">
      <pane ySplit="6" topLeftCell="A93" activePane="bottomLeft" state="frozen"/>
      <selection activeCell="A105" sqref="A105:XFD296"/>
      <selection pane="bottomLeft" activeCell="C6" sqref="C6"/>
    </sheetView>
  </sheetViews>
  <sheetFormatPr defaultColWidth="8.796875" defaultRowHeight="14.25" x14ac:dyDescent="0.2"/>
  <cols>
    <col min="1" max="1" width="10.8984375" style="20" customWidth="1"/>
    <col min="2" max="5" width="21.69921875" style="20" customWidth="1"/>
    <col min="6" max="16384" width="8.796875" style="20"/>
  </cols>
  <sheetData>
    <row r="1" spans="1:5" s="19" customFormat="1" ht="15" x14ac:dyDescent="0.25">
      <c r="A1" s="19" t="s">
        <v>181</v>
      </c>
    </row>
    <row r="2" spans="1:5" s="19" customFormat="1" ht="15" x14ac:dyDescent="0.25">
      <c r="A2" s="19" t="s">
        <v>8</v>
      </c>
    </row>
    <row r="3" spans="1:5" s="19" customFormat="1" ht="15" x14ac:dyDescent="0.25">
      <c r="A3" s="19" t="s">
        <v>14</v>
      </c>
    </row>
    <row r="4" spans="1:5" s="19" customFormat="1" ht="15" x14ac:dyDescent="0.25">
      <c r="A4" s="19" t="s">
        <v>172</v>
      </c>
    </row>
    <row r="5" spans="1:5" x14ac:dyDescent="0.2">
      <c r="A5" s="84" t="s">
        <v>49</v>
      </c>
      <c r="B5" s="84"/>
      <c r="C5" s="84"/>
      <c r="D5" s="84"/>
      <c r="E5" s="84"/>
    </row>
    <row r="6" spans="1:5" ht="78.75" x14ac:dyDescent="0.2">
      <c r="A6" s="30" t="s">
        <v>66</v>
      </c>
      <c r="B6" s="30" t="s">
        <v>67</v>
      </c>
      <c r="C6" s="31" t="s">
        <v>68</v>
      </c>
      <c r="D6" s="31" t="s">
        <v>69</v>
      </c>
      <c r="E6" s="32" t="s">
        <v>70</v>
      </c>
    </row>
    <row r="7" spans="1:5" ht="20.25" customHeight="1" x14ac:dyDescent="0.2">
      <c r="A7" s="7" t="s">
        <v>71</v>
      </c>
      <c r="B7" s="8" t="s">
        <v>72</v>
      </c>
      <c r="C7" s="8" t="s">
        <v>72</v>
      </c>
      <c r="D7" s="8" t="s">
        <v>72</v>
      </c>
      <c r="E7" s="8" t="s">
        <v>72</v>
      </c>
    </row>
    <row r="8" spans="1:5" ht="20.25" customHeight="1" x14ac:dyDescent="0.2">
      <c r="A8" s="3" t="s">
        <v>73</v>
      </c>
      <c r="B8" s="4">
        <v>-1.2626931220704463</v>
      </c>
      <c r="C8" s="4" t="s">
        <v>72</v>
      </c>
      <c r="D8" s="4" t="s">
        <v>72</v>
      </c>
      <c r="E8" s="4" t="s">
        <v>72</v>
      </c>
    </row>
    <row r="9" spans="1:5" ht="20.25" customHeight="1" x14ac:dyDescent="0.2">
      <c r="A9" s="7" t="s">
        <v>74</v>
      </c>
      <c r="B9" s="8">
        <v>-2.5753409587722986</v>
      </c>
      <c r="C9" s="8" t="s">
        <v>72</v>
      </c>
      <c r="D9" s="8" t="s">
        <v>72</v>
      </c>
      <c r="E9" s="8" t="s">
        <v>72</v>
      </c>
    </row>
    <row r="10" spans="1:5" ht="20.25" customHeight="1" x14ac:dyDescent="0.2">
      <c r="A10" s="3" t="s">
        <v>75</v>
      </c>
      <c r="B10" s="4">
        <v>-1.0544463112915015</v>
      </c>
      <c r="C10" s="4" t="s">
        <v>72</v>
      </c>
      <c r="D10" s="4" t="s">
        <v>72</v>
      </c>
      <c r="E10" s="4" t="s">
        <v>72</v>
      </c>
    </row>
    <row r="11" spans="1:5" ht="20.25" customHeight="1" x14ac:dyDescent="0.2">
      <c r="A11" s="7" t="s">
        <v>76</v>
      </c>
      <c r="B11" s="8">
        <v>-0.49624377835195688</v>
      </c>
      <c r="C11" s="8">
        <v>-5.0431414461145856</v>
      </c>
      <c r="D11" s="8">
        <v>-5.0431414461145856</v>
      </c>
      <c r="E11" s="8" t="s">
        <v>72</v>
      </c>
    </row>
    <row r="12" spans="1:5" ht="20.25" customHeight="1" x14ac:dyDescent="0.2">
      <c r="A12" s="3" t="s">
        <v>77</v>
      </c>
      <c r="B12" s="4">
        <v>-0.25068060971252804</v>
      </c>
      <c r="C12" s="4">
        <v>-4.8117633906182515</v>
      </c>
      <c r="D12" s="4">
        <v>-4.926240212815058</v>
      </c>
      <c r="E12" s="4" t="s">
        <v>72</v>
      </c>
    </row>
    <row r="13" spans="1:5" ht="20.25" customHeight="1" x14ac:dyDescent="0.2">
      <c r="A13" s="7" t="s">
        <v>78</v>
      </c>
      <c r="B13" s="8">
        <v>2.2329864424777135</v>
      </c>
      <c r="C13" s="8">
        <v>0.45505853018306119</v>
      </c>
      <c r="D13" s="8">
        <v>-3.1331582429463323</v>
      </c>
      <c r="E13" s="8" t="s">
        <v>72</v>
      </c>
    </row>
    <row r="14" spans="1:5" ht="20.25" customHeight="1" x14ac:dyDescent="0.2">
      <c r="A14" s="3" t="s">
        <v>79</v>
      </c>
      <c r="B14" s="4">
        <v>2.6246423749581416</v>
      </c>
      <c r="C14" s="4">
        <v>3.8571635345512334</v>
      </c>
      <c r="D14" s="4">
        <v>-1.3848791016862649</v>
      </c>
      <c r="E14" s="4">
        <v>-1.3848791016862649</v>
      </c>
    </row>
    <row r="15" spans="1:5" ht="20.25" customHeight="1" x14ac:dyDescent="0.2">
      <c r="A15" s="7" t="s">
        <v>80</v>
      </c>
      <c r="B15" s="8">
        <v>1.1386445104148324</v>
      </c>
      <c r="C15" s="8">
        <v>6.6025654279286305</v>
      </c>
      <c r="D15" s="8">
        <v>6.6025654279286305</v>
      </c>
      <c r="E15" s="8">
        <v>1.4316925694257021</v>
      </c>
    </row>
    <row r="16" spans="1:5" ht="20.25" customHeight="1" x14ac:dyDescent="0.2">
      <c r="A16" s="3" t="s">
        <v>81</v>
      </c>
      <c r="B16" s="4">
        <v>1.521989876959462</v>
      </c>
      <c r="C16" s="4">
        <v>7.8914695890178521</v>
      </c>
      <c r="D16" s="4">
        <v>7.2545542714547162</v>
      </c>
      <c r="E16" s="4">
        <v>4.641501669496062</v>
      </c>
    </row>
    <row r="17" spans="1:5" ht="20.25" customHeight="1" x14ac:dyDescent="0.2">
      <c r="A17" s="7" t="s">
        <v>82</v>
      </c>
      <c r="B17" s="8">
        <v>0.44545374436475438</v>
      </c>
      <c r="C17" s="8">
        <v>5.7465763649425794</v>
      </c>
      <c r="D17" s="8">
        <v>6.7334739282989275</v>
      </c>
      <c r="E17" s="8">
        <v>5.9968002804526188</v>
      </c>
    </row>
    <row r="18" spans="1:5" ht="20.25" customHeight="1" x14ac:dyDescent="0.2">
      <c r="A18" s="3" t="s">
        <v>83</v>
      </c>
      <c r="B18" s="4">
        <v>0.29166058115337457</v>
      </c>
      <c r="C18" s="4">
        <v>3.5072622947877719</v>
      </c>
      <c r="D18" s="4">
        <v>5.8837078174960311</v>
      </c>
      <c r="E18" s="4">
        <v>5.8837078174960311</v>
      </c>
    </row>
    <row r="19" spans="1:5" ht="20.25" customHeight="1" x14ac:dyDescent="0.2">
      <c r="A19" s="7" t="s">
        <v>84</v>
      </c>
      <c r="B19" s="8">
        <v>1.6838255480259745</v>
      </c>
      <c r="C19" s="8">
        <v>2.7944828073043881</v>
      </c>
      <c r="D19" s="8">
        <v>2.7944828073043881</v>
      </c>
      <c r="E19" s="8">
        <v>4.9427677231425493</v>
      </c>
    </row>
    <row r="20" spans="1:5" ht="20.25" customHeight="1" x14ac:dyDescent="0.2">
      <c r="A20" s="3" t="s">
        <v>85</v>
      </c>
      <c r="B20" s="4">
        <v>0.53266641289428929</v>
      </c>
      <c r="C20" s="4">
        <v>3.6483928564507551</v>
      </c>
      <c r="D20" s="4">
        <v>3.2289960624312553</v>
      </c>
      <c r="E20" s="4">
        <v>3.9189681860036574</v>
      </c>
    </row>
    <row r="21" spans="1:5" ht="20.25" customHeight="1" x14ac:dyDescent="0.2">
      <c r="A21" s="7" t="s">
        <v>86</v>
      </c>
      <c r="B21" s="8">
        <v>1.2324397306701984</v>
      </c>
      <c r="C21" s="8">
        <v>3.8676002330391368</v>
      </c>
      <c r="D21" s="8">
        <v>3.4476247425781592</v>
      </c>
      <c r="E21" s="8">
        <v>3.4625906445298504</v>
      </c>
    </row>
    <row r="22" spans="1:5" ht="20.25" customHeight="1" x14ac:dyDescent="0.2">
      <c r="A22" s="3" t="s">
        <v>87</v>
      </c>
      <c r="B22" s="4">
        <v>0.87842737230776624</v>
      </c>
      <c r="C22" s="4">
        <v>3.9739322305778924</v>
      </c>
      <c r="D22" s="4">
        <v>3.5831398719951446</v>
      </c>
      <c r="E22" s="4">
        <v>3.5831398719951446</v>
      </c>
    </row>
    <row r="23" spans="1:5" ht="20.25" customHeight="1" x14ac:dyDescent="0.2">
      <c r="A23" s="7" t="s">
        <v>88</v>
      </c>
      <c r="B23" s="8">
        <v>1.259793777004603</v>
      </c>
      <c r="C23" s="8">
        <v>4.7227581891729153</v>
      </c>
      <c r="D23" s="8">
        <v>4.7227581891729153</v>
      </c>
      <c r="E23" s="8">
        <v>4.0501150164529154</v>
      </c>
    </row>
    <row r="24" spans="1:5" ht="20.25" customHeight="1" x14ac:dyDescent="0.2">
      <c r="A24" s="3" t="s">
        <v>89</v>
      </c>
      <c r="B24" s="4">
        <v>-0.15635839975479682</v>
      </c>
      <c r="C24" s="4">
        <v>2.8931994481939949</v>
      </c>
      <c r="D24" s="4">
        <v>3.7880024691028247</v>
      </c>
      <c r="E24" s="4">
        <v>3.8550530058924171</v>
      </c>
    </row>
    <row r="25" spans="1:5" ht="20.25" customHeight="1" x14ac:dyDescent="0.2">
      <c r="A25" s="7" t="s">
        <v>90</v>
      </c>
      <c r="B25" s="8">
        <v>0.64762563452014366</v>
      </c>
      <c r="C25" s="8">
        <v>2.4499063109065355</v>
      </c>
      <c r="D25" s="8">
        <v>3.3280401227561374</v>
      </c>
      <c r="E25" s="8">
        <v>3.4901951946100684</v>
      </c>
    </row>
    <row r="26" spans="1:5" ht="20.25" customHeight="1" x14ac:dyDescent="0.2">
      <c r="A26" s="3" t="s">
        <v>91</v>
      </c>
      <c r="B26" s="4">
        <v>1.3507335877445792</v>
      </c>
      <c r="C26" s="4">
        <v>2.9054967078356642</v>
      </c>
      <c r="D26" s="4">
        <v>3.2188319927437092</v>
      </c>
      <c r="E26" s="4">
        <v>3.2188319927437092</v>
      </c>
    </row>
    <row r="27" spans="1:5" ht="20.25" customHeight="1" x14ac:dyDescent="0.2">
      <c r="A27" s="7" t="s">
        <v>92</v>
      </c>
      <c r="B27" s="8">
        <v>1.8812885579406968</v>
      </c>
      <c r="C27" s="8">
        <v>3.8403679643481681</v>
      </c>
      <c r="D27" s="8">
        <v>3.8403679643481681</v>
      </c>
      <c r="E27" s="8">
        <v>3.0180588578916812</v>
      </c>
    </row>
    <row r="28" spans="1:5" ht="20.25" customHeight="1" x14ac:dyDescent="0.2">
      <c r="A28" s="3" t="s">
        <v>93</v>
      </c>
      <c r="B28" s="4">
        <v>3.1874846869623052</v>
      </c>
      <c r="C28" s="4">
        <v>7.3524282538642849</v>
      </c>
      <c r="D28" s="4">
        <v>5.6192750070180209</v>
      </c>
      <c r="E28" s="4">
        <v>4.1373280579257043</v>
      </c>
    </row>
    <row r="29" spans="1:5" ht="20.25" customHeight="1" x14ac:dyDescent="0.2">
      <c r="A29" s="7" t="s">
        <v>94</v>
      </c>
      <c r="B29" s="8">
        <v>1.313332341300133</v>
      </c>
      <c r="C29" s="8">
        <v>7.8381459468882753</v>
      </c>
      <c r="D29" s="8">
        <v>6.3755162746255367</v>
      </c>
      <c r="E29" s="8">
        <v>5.5002750890538854</v>
      </c>
    </row>
    <row r="30" spans="1:5" ht="20.25" customHeight="1" x14ac:dyDescent="0.2">
      <c r="A30" s="3" t="s">
        <v>95</v>
      </c>
      <c r="B30" s="4">
        <v>2.2823902428433795</v>
      </c>
      <c r="C30" s="4">
        <v>9.0441832428527427</v>
      </c>
      <c r="D30" s="4">
        <v>7.0631507553804429</v>
      </c>
      <c r="E30" s="4">
        <v>7.0631507553804429</v>
      </c>
    </row>
    <row r="31" spans="1:5" ht="20.25" customHeight="1" x14ac:dyDescent="0.2">
      <c r="A31" s="7" t="s">
        <v>96</v>
      </c>
      <c r="B31" s="8">
        <v>0.79575998891396882</v>
      </c>
      <c r="C31" s="8">
        <v>7.6102083512389118</v>
      </c>
      <c r="D31" s="8">
        <v>7.6102083512389118</v>
      </c>
      <c r="E31" s="8">
        <v>7.9701401015171314</v>
      </c>
    </row>
    <row r="32" spans="1:5" ht="20.25" customHeight="1" x14ac:dyDescent="0.2">
      <c r="A32" s="3" t="s">
        <v>97</v>
      </c>
      <c r="B32" s="4">
        <v>2.3147987902179645</v>
      </c>
      <c r="C32" s="4">
        <v>7.348498063237674</v>
      </c>
      <c r="D32" s="4">
        <v>7.4754732423774284</v>
      </c>
      <c r="E32" s="4">
        <v>7.9581669909753794</v>
      </c>
    </row>
    <row r="33" spans="1:5" ht="20.25" customHeight="1" x14ac:dyDescent="0.2">
      <c r="A33" s="7" t="s">
        <v>98</v>
      </c>
      <c r="B33" s="8">
        <v>2.3371286804549252</v>
      </c>
      <c r="C33" s="8">
        <v>8.3144206091245501</v>
      </c>
      <c r="D33" s="8">
        <v>7.7653369062346211</v>
      </c>
      <c r="E33" s="8">
        <v>8.0799662083723902</v>
      </c>
    </row>
    <row r="34" spans="1:5" ht="20.25" customHeight="1" x14ac:dyDescent="0.2">
      <c r="A34" s="3" t="s">
        <v>99</v>
      </c>
      <c r="B34" s="4">
        <v>-3.6997959406643743</v>
      </c>
      <c r="C34" s="4">
        <v>1.5262285675990972</v>
      </c>
      <c r="D34" s="4">
        <v>6.127961448603414</v>
      </c>
      <c r="E34" s="4">
        <v>6.127961448603414</v>
      </c>
    </row>
    <row r="35" spans="1:5" ht="20.25" customHeight="1" x14ac:dyDescent="0.2">
      <c r="A35" s="7" t="s">
        <v>100</v>
      </c>
      <c r="B35" s="8">
        <v>-3.5992142837875774</v>
      </c>
      <c r="C35" s="8">
        <v>-2.9228645122233665</v>
      </c>
      <c r="D35" s="8">
        <v>-2.9228645122233665</v>
      </c>
      <c r="E35" s="8">
        <v>3.5457426627603983</v>
      </c>
    </row>
    <row r="36" spans="1:5" ht="20.25" customHeight="1" x14ac:dyDescent="0.2">
      <c r="A36" s="3" t="s">
        <v>101</v>
      </c>
      <c r="B36" s="4">
        <v>2.3503826777484305</v>
      </c>
      <c r="C36" s="4">
        <v>-3.2499340672538013</v>
      </c>
      <c r="D36" s="4">
        <v>-3.091049298910431</v>
      </c>
      <c r="E36" s="4">
        <v>0.88376641305281112</v>
      </c>
    </row>
    <row r="37" spans="1:5" ht="20.25" customHeight="1" x14ac:dyDescent="0.2">
      <c r="A37" s="7" t="s">
        <v>102</v>
      </c>
      <c r="B37" s="8">
        <v>2.6097036038652321</v>
      </c>
      <c r="C37" s="8">
        <v>-2.4119871586353092</v>
      </c>
      <c r="D37" s="8">
        <v>-2.8552319405782955</v>
      </c>
      <c r="E37" s="8">
        <v>-1.7676624684564324</v>
      </c>
    </row>
    <row r="38" spans="1:5" ht="20.25" customHeight="1" x14ac:dyDescent="0.2">
      <c r="A38" s="3" t="s">
        <v>103</v>
      </c>
      <c r="B38" s="4">
        <v>2.7163848870546348</v>
      </c>
      <c r="C38" s="4">
        <v>4.0383607858471171</v>
      </c>
      <c r="D38" s="4">
        <v>-1.1245398749844981</v>
      </c>
      <c r="E38" s="4">
        <v>-1.1245398749844981</v>
      </c>
    </row>
    <row r="39" spans="1:5" ht="20.25" customHeight="1" x14ac:dyDescent="0.2">
      <c r="A39" s="7" t="s">
        <v>104</v>
      </c>
      <c r="B39" s="8">
        <v>1.8995761993360061</v>
      </c>
      <c r="C39" s="8">
        <v>10.031865610136069</v>
      </c>
      <c r="D39" s="8">
        <v>10.031865610136069</v>
      </c>
      <c r="E39" s="8">
        <v>1.8954545068982087</v>
      </c>
    </row>
    <row r="40" spans="1:5" ht="20.25" customHeight="1" x14ac:dyDescent="0.2">
      <c r="A40" s="3" t="s">
        <v>105</v>
      </c>
      <c r="B40" s="4">
        <v>0.48925897646552308</v>
      </c>
      <c r="C40" s="4">
        <v>7.798830198804696</v>
      </c>
      <c r="D40" s="4">
        <v>8.8854830323697556</v>
      </c>
      <c r="E40" s="4">
        <v>4.6665255572086117</v>
      </c>
    </row>
    <row r="41" spans="1:5" ht="20.25" customHeight="1" x14ac:dyDescent="0.2">
      <c r="A41" s="34" t="s">
        <v>106</v>
      </c>
      <c r="B41" s="8">
        <v>-0.35873651256571604</v>
      </c>
      <c r="C41" s="8">
        <v>5.0066499075817061</v>
      </c>
      <c r="D41" s="8">
        <v>7.5323378151940013</v>
      </c>
      <c r="E41" s="8">
        <v>6.6359789309212047</v>
      </c>
    </row>
    <row r="42" spans="1:5" ht="20.25" customHeight="1" x14ac:dyDescent="0.2">
      <c r="A42" s="3" t="s">
        <v>107</v>
      </c>
      <c r="B42" s="4">
        <v>1.2711946512930394</v>
      </c>
      <c r="C42" s="4">
        <v>3.3957515265424121</v>
      </c>
      <c r="D42" s="4">
        <v>6.4395867150738528</v>
      </c>
      <c r="E42" s="4">
        <v>6.4395867150738528</v>
      </c>
    </row>
    <row r="43" spans="1:5" ht="20.25" customHeight="1" x14ac:dyDescent="0.2">
      <c r="A43" s="7" t="s">
        <v>108</v>
      </c>
      <c r="B43" s="8">
        <v>1.7659490721640525</v>
      </c>
      <c r="C43" s="8">
        <v>3.1327479090224264</v>
      </c>
      <c r="D43" s="8">
        <v>3.1327479090224264</v>
      </c>
      <c r="E43" s="8">
        <v>4.792178430401739</v>
      </c>
    </row>
    <row r="44" spans="1:5" ht="20.25" customHeight="1" x14ac:dyDescent="0.2">
      <c r="A44" s="3" t="s">
        <v>109</v>
      </c>
      <c r="B44" s="4">
        <v>0.28234696526470149</v>
      </c>
      <c r="C44" s="4">
        <v>2.8420945056764069</v>
      </c>
      <c r="D44" s="4">
        <v>2.9850230971212977</v>
      </c>
      <c r="E44" s="4">
        <v>3.5868497235708618</v>
      </c>
    </row>
    <row r="45" spans="1:5" ht="20.25" customHeight="1" x14ac:dyDescent="0.2">
      <c r="A45" s="7" t="s">
        <v>110</v>
      </c>
      <c r="B45" s="8">
        <v>2.8791202733469135E-3</v>
      </c>
      <c r="C45" s="8">
        <v>3.4932600046273965</v>
      </c>
      <c r="D45" s="8">
        <v>3.1581590359375689</v>
      </c>
      <c r="E45" s="8">
        <v>3.2176271728672878</v>
      </c>
    </row>
    <row r="46" spans="1:5" ht="20.25" customHeight="1" x14ac:dyDescent="0.2">
      <c r="A46" s="3" t="s">
        <v>111</v>
      </c>
      <c r="B46" s="4">
        <v>5.8187666095510515E-2</v>
      </c>
      <c r="C46" s="4">
        <v>1.9359458085747239</v>
      </c>
      <c r="D46" s="4">
        <v>2.8445232149844957</v>
      </c>
      <c r="E46" s="4">
        <v>2.8445232149844957</v>
      </c>
    </row>
    <row r="47" spans="1:5" ht="20.25" customHeight="1" x14ac:dyDescent="0.2">
      <c r="A47" s="7" t="s">
        <v>112</v>
      </c>
      <c r="B47" s="8">
        <v>-0.61486684773187639</v>
      </c>
      <c r="C47" s="8">
        <v>0.12988207634159199</v>
      </c>
      <c r="D47" s="8">
        <v>0.12988207634159199</v>
      </c>
      <c r="E47" s="8">
        <v>2.1058274113848752</v>
      </c>
    </row>
    <row r="48" spans="1:5" ht="20.25" customHeight="1" x14ac:dyDescent="0.2">
      <c r="A48" s="3" t="s">
        <v>113</v>
      </c>
      <c r="B48" s="4">
        <v>-0.41000389180756436</v>
      </c>
      <c r="C48" s="4">
        <v>-1.0484122640585625</v>
      </c>
      <c r="D48" s="4">
        <v>-0.46815576748279186</v>
      </c>
      <c r="E48" s="4">
        <v>1.1286033237919213</v>
      </c>
    </row>
    <row r="49" spans="1:5" ht="20.25" customHeight="1" x14ac:dyDescent="0.2">
      <c r="A49" s="7" t="s">
        <v>114</v>
      </c>
      <c r="B49" s="8">
        <v>1.8616815997683833</v>
      </c>
      <c r="C49" s="8">
        <v>0.62444889242239121</v>
      </c>
      <c r="D49" s="8">
        <v>-9.4740079966326718E-2</v>
      </c>
      <c r="E49" s="8">
        <v>0.41440692883421004</v>
      </c>
    </row>
    <row r="50" spans="1:5" ht="20.25" customHeight="1" x14ac:dyDescent="0.2">
      <c r="A50" s="3" t="s">
        <v>115</v>
      </c>
      <c r="B50" s="4">
        <v>-0.85705498595408658</v>
      </c>
      <c r="C50" s="4">
        <v>0.14663009298307994</v>
      </c>
      <c r="D50" s="4">
        <v>-3.3348548376921361E-2</v>
      </c>
      <c r="E50" s="4">
        <v>-3.3348548376921361E-2</v>
      </c>
    </row>
    <row r="51" spans="1:5" ht="20.25" customHeight="1" x14ac:dyDescent="0.2">
      <c r="A51" s="7" t="s">
        <v>116</v>
      </c>
      <c r="B51" s="8">
        <v>-0.34362174840277815</v>
      </c>
      <c r="C51" s="8">
        <v>-0.5903440987351849</v>
      </c>
      <c r="D51" s="8">
        <v>-0.5903440987351849</v>
      </c>
      <c r="E51" s="8">
        <v>-0.20755015435420798</v>
      </c>
    </row>
    <row r="52" spans="1:5" ht="20.25" customHeight="1" x14ac:dyDescent="0.2">
      <c r="A52" s="3" t="s">
        <v>117</v>
      </c>
      <c r="B52" s="4">
        <v>1.9221140935641756</v>
      </c>
      <c r="C52" s="4">
        <v>2.9508138223192093</v>
      </c>
      <c r="D52" s="4">
        <v>1.196476235500632</v>
      </c>
      <c r="E52" s="4">
        <v>0.78272618446297848</v>
      </c>
    </row>
    <row r="53" spans="1:5" ht="20.25" customHeight="1" x14ac:dyDescent="0.2">
      <c r="A53" s="7" t="s">
        <v>118</v>
      </c>
      <c r="B53" s="8">
        <v>1.3064906620055883</v>
      </c>
      <c r="C53" s="8">
        <v>2.2145546702914354</v>
      </c>
      <c r="D53" s="8">
        <v>1.5469261106761056</v>
      </c>
      <c r="E53" s="8">
        <v>1.190514676125054</v>
      </c>
    </row>
    <row r="54" spans="1:5" ht="20.25" customHeight="1" x14ac:dyDescent="0.2">
      <c r="A54" s="3" t="s">
        <v>119</v>
      </c>
      <c r="B54" s="4">
        <v>-0.69863372416638647</v>
      </c>
      <c r="C54" s="4">
        <v>2.1394691059591242</v>
      </c>
      <c r="D54" s="4">
        <v>1.6979083735571665</v>
      </c>
      <c r="E54" s="4">
        <v>1.6979083735571665</v>
      </c>
    </row>
    <row r="55" spans="1:5" ht="20.25" customHeight="1" x14ac:dyDescent="0.2">
      <c r="A55" s="7" t="s">
        <v>120</v>
      </c>
      <c r="B55" s="8">
        <v>0.40601997314759775</v>
      </c>
      <c r="C55" s="8">
        <v>3.468986681706121</v>
      </c>
      <c r="D55" s="8">
        <v>3.468986681706121</v>
      </c>
      <c r="E55" s="8">
        <v>2.6795380194311269</v>
      </c>
    </row>
    <row r="56" spans="1:5" ht="20.25" customHeight="1" x14ac:dyDescent="0.2">
      <c r="A56" s="3" t="s">
        <v>121</v>
      </c>
      <c r="B56" s="4">
        <v>-2.9421015927606042</v>
      </c>
      <c r="C56" s="4">
        <v>-2.2649408800547333</v>
      </c>
      <c r="D56" s="4">
        <v>0.52556701609891565</v>
      </c>
      <c r="E56" s="4">
        <v>1.36513977011401</v>
      </c>
    </row>
    <row r="57" spans="1:5" ht="20.25" customHeight="1" x14ac:dyDescent="0.2">
      <c r="A57" s="7" t="s">
        <v>122</v>
      </c>
      <c r="B57" s="8">
        <v>-0.10608979483534009</v>
      </c>
      <c r="C57" s="8">
        <v>-3.3377565980530988</v>
      </c>
      <c r="D57" s="8">
        <v>-0.81303575389021221</v>
      </c>
      <c r="E57" s="8">
        <v>-6.9299535224620623E-2</v>
      </c>
    </row>
    <row r="58" spans="1:5" ht="20.25" customHeight="1" x14ac:dyDescent="0.2">
      <c r="A58" s="3" t="s">
        <v>123</v>
      </c>
      <c r="B58" s="4">
        <v>1.2439579907370879</v>
      </c>
      <c r="C58" s="4">
        <v>-1.608539977015444</v>
      </c>
      <c r="D58" s="4">
        <v>-1.0166134178414055</v>
      </c>
      <c r="E58" s="4">
        <v>-1.0166134178414055</v>
      </c>
    </row>
    <row r="59" spans="1:5" ht="20.25" customHeight="1" x14ac:dyDescent="0.2">
      <c r="A59" s="7" t="s">
        <v>124</v>
      </c>
      <c r="B59" s="8">
        <v>-1.9192318194797608</v>
      </c>
      <c r="C59" s="8">
        <v>-3.6192328784898753</v>
      </c>
      <c r="D59" s="8">
        <v>-3.6192328784898753</v>
      </c>
      <c r="E59" s="8">
        <v>-2.7015822747510687</v>
      </c>
    </row>
    <row r="60" spans="1:5" ht="20.25" customHeight="1" x14ac:dyDescent="0.2">
      <c r="A60" s="3" t="s">
        <v>125</v>
      </c>
      <c r="B60" s="4">
        <v>-2.997387528898865</v>
      </c>
      <c r="C60" s="4">
        <v>-3.6527377376300074</v>
      </c>
      <c r="D60" s="4">
        <v>-3.6359546247896501</v>
      </c>
      <c r="E60" s="4">
        <v>-3.04175576493948</v>
      </c>
    </row>
    <row r="61" spans="1:5" ht="20.25" customHeight="1" x14ac:dyDescent="0.2">
      <c r="A61" s="7" t="s">
        <v>126</v>
      </c>
      <c r="B61" s="8">
        <v>-2.3207862044860694</v>
      </c>
      <c r="C61" s="8">
        <v>-6.0707794245595021</v>
      </c>
      <c r="D61" s="8">
        <v>-4.4581227193039812</v>
      </c>
      <c r="E61" s="8">
        <v>-3.7244468306494527</v>
      </c>
    </row>
    <row r="62" spans="1:5" ht="20.25" customHeight="1" x14ac:dyDescent="0.2">
      <c r="A62" s="3" t="s">
        <v>127</v>
      </c>
      <c r="B62" s="4">
        <v>-0.83114260513843519</v>
      </c>
      <c r="C62" s="4">
        <v>-7.7624145692203221</v>
      </c>
      <c r="D62" s="4">
        <v>-5.2986680360231126</v>
      </c>
      <c r="E62" s="4">
        <v>-5.2986680360231126</v>
      </c>
    </row>
    <row r="63" spans="1:5" ht="20.25" customHeight="1" x14ac:dyDescent="0.2">
      <c r="A63" s="7" t="s">
        <v>128</v>
      </c>
      <c r="B63" s="8">
        <v>-0.27086125484814261</v>
      </c>
      <c r="C63" s="8">
        <v>-6.3724909525025293</v>
      </c>
      <c r="D63" s="8">
        <v>-6.3724909525025293</v>
      </c>
      <c r="E63" s="8">
        <v>-5.9762084712904233</v>
      </c>
    </row>
    <row r="64" spans="1:5" ht="20.25" customHeight="1" x14ac:dyDescent="0.2">
      <c r="A64" s="3" t="s">
        <v>129</v>
      </c>
      <c r="B64" s="4">
        <v>0.29711961458900316</v>
      </c>
      <c r="C64" s="4">
        <v>-2.5918934638237245</v>
      </c>
      <c r="D64" s="4">
        <v>-4.4859830435316272</v>
      </c>
      <c r="E64" s="4">
        <v>-5.7409863323292454</v>
      </c>
    </row>
    <row r="65" spans="1:5" ht="20.25" customHeight="1" x14ac:dyDescent="0.2">
      <c r="A65" s="7" t="s">
        <v>130</v>
      </c>
      <c r="B65" s="8">
        <v>-1.0923012992729242</v>
      </c>
      <c r="C65" s="8">
        <v>-1.8812979930382667</v>
      </c>
      <c r="D65" s="8">
        <v>-3.6213037315067753</v>
      </c>
      <c r="E65" s="8">
        <v>-4.7109391510527061</v>
      </c>
    </row>
    <row r="66" spans="1:5" ht="20.25" customHeight="1" x14ac:dyDescent="0.2">
      <c r="A66" s="3" t="s">
        <v>131</v>
      </c>
      <c r="B66" s="4">
        <v>-1.749734973634931</v>
      </c>
      <c r="C66" s="4">
        <v>-2.9913076230475899</v>
      </c>
      <c r="D66" s="4">
        <v>-3.465214681078721</v>
      </c>
      <c r="E66" s="4">
        <v>-3.465214681078721</v>
      </c>
    </row>
    <row r="67" spans="1:5" ht="20.25" customHeight="1" x14ac:dyDescent="0.2">
      <c r="A67" s="7" t="s">
        <v>132</v>
      </c>
      <c r="B67" s="8">
        <v>1.1759754462963956</v>
      </c>
      <c r="C67" s="8">
        <v>-1.1534068954789478</v>
      </c>
      <c r="D67" s="8">
        <v>-1.1534068954789478</v>
      </c>
      <c r="E67" s="8">
        <v>-2.1675155114903699</v>
      </c>
    </row>
    <row r="68" spans="1:5" ht="20.25" customHeight="1" x14ac:dyDescent="0.2">
      <c r="A68" s="3" t="s">
        <v>133</v>
      </c>
      <c r="B68" s="4">
        <v>-0.39616214887503443</v>
      </c>
      <c r="C68" s="4">
        <v>-2.4397804069120399</v>
      </c>
      <c r="D68" s="4">
        <v>-1.8080329230088621</v>
      </c>
      <c r="E68" s="4">
        <v>-2.1266824357699776</v>
      </c>
    </row>
    <row r="69" spans="1:5" ht="20.25" customHeight="1" x14ac:dyDescent="0.2">
      <c r="A69" s="7" t="s">
        <v>134</v>
      </c>
      <c r="B69" s="8">
        <v>6.0371374061696237E-2</v>
      </c>
      <c r="C69" s="8">
        <v>-1.2360960587342928</v>
      </c>
      <c r="D69" s="8">
        <v>-1.6147387829702153</v>
      </c>
      <c r="E69" s="8">
        <v>-1.9653511016809011</v>
      </c>
    </row>
    <row r="70" spans="1:5" ht="20.25" customHeight="1" x14ac:dyDescent="0.2">
      <c r="A70" s="3" t="s">
        <v>135</v>
      </c>
      <c r="B70" s="4">
        <v>0.19815877389601777</v>
      </c>
      <c r="C70" s="4">
        <v>0.91894569686437055</v>
      </c>
      <c r="D70" s="4">
        <v>-0.98390648826085503</v>
      </c>
      <c r="E70" s="4">
        <v>-0.98390648826085503</v>
      </c>
    </row>
    <row r="71" spans="1:5" ht="20.25" customHeight="1" x14ac:dyDescent="0.2">
      <c r="A71" s="7" t="s">
        <v>136</v>
      </c>
      <c r="B71" s="8">
        <v>-2.8469173560863315E-2</v>
      </c>
      <c r="C71" s="8">
        <v>-0.40932456331933542</v>
      </c>
      <c r="D71" s="8">
        <v>-0.40932456331933542</v>
      </c>
      <c r="E71" s="8">
        <v>-0.80332596294327985</v>
      </c>
    </row>
    <row r="72" spans="1:5" ht="20.25" customHeight="1" x14ac:dyDescent="0.2">
      <c r="A72" s="3" t="s">
        <v>137</v>
      </c>
      <c r="B72" s="4">
        <v>-0.16037994041482317</v>
      </c>
      <c r="C72" s="4">
        <v>0.43980683443833879</v>
      </c>
      <c r="D72" s="4">
        <v>2.0012012835923798E-2</v>
      </c>
      <c r="E72" s="4">
        <v>-7.5858253021943156E-2</v>
      </c>
    </row>
    <row r="73" spans="1:5" ht="20.25" customHeight="1" x14ac:dyDescent="0.2">
      <c r="A73" s="7" t="s">
        <v>138</v>
      </c>
      <c r="B73" s="8">
        <v>0.39926760479103152</v>
      </c>
      <c r="C73" s="8">
        <v>0.24844647951889343</v>
      </c>
      <c r="D73" s="8">
        <v>9.751178669181737E-2</v>
      </c>
      <c r="E73" s="8">
        <v>0.30454161230517585</v>
      </c>
    </row>
    <row r="74" spans="1:5" ht="20.25" customHeight="1" x14ac:dyDescent="0.2">
      <c r="A74" s="3" t="s">
        <v>139</v>
      </c>
      <c r="B74" s="4">
        <v>0.92552150079687756</v>
      </c>
      <c r="C74" s="4">
        <v>1.4839933225033741</v>
      </c>
      <c r="D74" s="4">
        <v>0.44934950393991091</v>
      </c>
      <c r="E74" s="4">
        <v>0.44934950393991091</v>
      </c>
    </row>
    <row r="75" spans="1:5" ht="20.25" customHeight="1" x14ac:dyDescent="0.2">
      <c r="A75" s="7" t="s">
        <v>140</v>
      </c>
      <c r="B75" s="8">
        <v>0.13833409979266964</v>
      </c>
      <c r="C75" s="8">
        <v>1.5191726278829476</v>
      </c>
      <c r="D75" s="8">
        <v>1.5191726278829476</v>
      </c>
      <c r="E75" s="8">
        <v>0.91884526812968659</v>
      </c>
    </row>
    <row r="76" spans="1:5" ht="20.25" customHeight="1" x14ac:dyDescent="0.2">
      <c r="A76" s="36" t="s">
        <v>141</v>
      </c>
      <c r="B76" s="4">
        <v>0.42776660785985854</v>
      </c>
      <c r="C76" s="4">
        <v>1.3524898308075795</v>
      </c>
      <c r="D76" s="4">
        <v>1.4345409921426189</v>
      </c>
      <c r="E76" s="4">
        <v>1.146832696390887</v>
      </c>
    </row>
    <row r="77" spans="1:5" ht="20.25" customHeight="1" x14ac:dyDescent="0.2">
      <c r="A77" s="7" t="s">
        <v>142</v>
      </c>
      <c r="B77" s="8">
        <v>0.26200826118352172</v>
      </c>
      <c r="C77" s="8">
        <v>2.005378167098204</v>
      </c>
      <c r="D77" s="8">
        <v>1.6284979755017748</v>
      </c>
      <c r="E77" s="8">
        <v>1.5918547050745246</v>
      </c>
    </row>
    <row r="78" spans="1:5" ht="20.25" customHeight="1" x14ac:dyDescent="0.2">
      <c r="A78" s="3" t="s">
        <v>143</v>
      </c>
      <c r="B78" s="4">
        <v>0.46586185331016772</v>
      </c>
      <c r="C78" s="4">
        <v>1.4725917992014281</v>
      </c>
      <c r="D78" s="4">
        <v>1.5885272488450175</v>
      </c>
      <c r="E78" s="4">
        <v>1.5885272488450175</v>
      </c>
    </row>
    <row r="79" spans="1:5" ht="20.25" customHeight="1" x14ac:dyDescent="0.2">
      <c r="A79" s="7" t="s">
        <v>144</v>
      </c>
      <c r="B79" s="8">
        <v>-0.85051967552455254</v>
      </c>
      <c r="C79" s="8">
        <v>0.73672981328469778</v>
      </c>
      <c r="D79" s="8">
        <v>0.73672981328469778</v>
      </c>
      <c r="E79" s="8">
        <v>1.3970034701617173</v>
      </c>
    </row>
    <row r="80" spans="1:5" ht="20.25" customHeight="1" x14ac:dyDescent="0.2">
      <c r="A80" s="3" t="s">
        <v>145</v>
      </c>
      <c r="B80" s="4">
        <v>-6.4185576576126895</v>
      </c>
      <c r="C80" s="4">
        <v>-6.6933955093865798</v>
      </c>
      <c r="D80" s="4">
        <v>-3.0327953606441804</v>
      </c>
      <c r="E80" s="4">
        <v>-0.62172664886273044</v>
      </c>
    </row>
    <row r="81" spans="1:5" ht="20.25" customHeight="1" x14ac:dyDescent="0.2">
      <c r="A81" s="7" t="s">
        <v>146</v>
      </c>
      <c r="B81" s="8">
        <v>9.4032445698679865</v>
      </c>
      <c r="C81" s="8">
        <v>1.8775520385679867</v>
      </c>
      <c r="D81" s="8">
        <v>-1.3581881579018407</v>
      </c>
      <c r="E81" s="8">
        <v>-0.64112539983052219</v>
      </c>
    </row>
    <row r="82" spans="1:5" ht="20.25" customHeight="1" x14ac:dyDescent="0.2">
      <c r="A82" s="36" t="s">
        <v>147</v>
      </c>
      <c r="B82" s="4">
        <v>3.8192589348627903</v>
      </c>
      <c r="C82" s="4">
        <v>5.407726303119742</v>
      </c>
      <c r="D82" s="4">
        <v>0.37445574689773942</v>
      </c>
      <c r="E82" s="4">
        <v>0.37445574689773942</v>
      </c>
    </row>
    <row r="83" spans="1:5" ht="20.25" customHeight="1" x14ac:dyDescent="0.2">
      <c r="A83" s="7" t="s">
        <v>148</v>
      </c>
      <c r="B83" s="8">
        <v>1.4129417438092373</v>
      </c>
      <c r="C83" s="8">
        <v>7.4686865860592366</v>
      </c>
      <c r="D83" s="8">
        <v>7.4686865860592366</v>
      </c>
      <c r="E83" s="8">
        <v>2.0100265693759889</v>
      </c>
    </row>
    <row r="84" spans="1:5" ht="20.25" customHeight="1" x14ac:dyDescent="0.2">
      <c r="A84" s="36" t="s">
        <v>149</v>
      </c>
      <c r="B84" s="4">
        <v>0.2202686053470515</v>
      </c>
      <c r="C84" s="4">
        <v>15.429283570048447</v>
      </c>
      <c r="D84" s="4">
        <v>11.354873241091434</v>
      </c>
      <c r="E84" s="4">
        <v>7.3682136647237773</v>
      </c>
    </row>
    <row r="85" spans="1:5" ht="20.25" customHeight="1" x14ac:dyDescent="0.2">
      <c r="A85" s="7" t="s">
        <v>150</v>
      </c>
      <c r="B85" s="8">
        <v>0.46389717516583939</v>
      </c>
      <c r="C85" s="8">
        <v>6.0181277742511252</v>
      </c>
      <c r="D85" s="8">
        <v>9.4751466456767233</v>
      </c>
      <c r="E85" s="8">
        <v>8.4229129598507591</v>
      </c>
    </row>
    <row r="86" spans="1:5" ht="20.25" customHeight="1" x14ac:dyDescent="0.2">
      <c r="A86" s="36" t="s">
        <v>151</v>
      </c>
      <c r="B86" s="4">
        <v>4.5058958482169231E-3</v>
      </c>
      <c r="C86" s="4">
        <v>2.2417461807229477</v>
      </c>
      <c r="D86" s="4">
        <v>7.5299004974614281</v>
      </c>
      <c r="E86" s="4">
        <v>7.5299004974614281</v>
      </c>
    </row>
    <row r="87" spans="1:5" ht="20.25" customHeight="1" x14ac:dyDescent="0.2">
      <c r="A87" s="7" t="s">
        <v>152</v>
      </c>
      <c r="B87" s="8">
        <v>1.3957530896791637</v>
      </c>
      <c r="C87" s="8">
        <v>2.0109793978173807</v>
      </c>
      <c r="D87" s="8">
        <v>2.0109793978173807</v>
      </c>
      <c r="E87" s="8">
        <v>6.1324229199916092</v>
      </c>
    </row>
    <row r="88" spans="1:5" ht="20.25" customHeight="1" x14ac:dyDescent="0.2">
      <c r="A88" s="36" t="s">
        <v>153</v>
      </c>
      <c r="B88" s="4">
        <v>1.2193379060550624</v>
      </c>
      <c r="C88" s="4">
        <v>3.1284893674176084</v>
      </c>
      <c r="D88" s="4">
        <v>2.5764840693539126</v>
      </c>
      <c r="E88" s="4">
        <v>3.3320628121160434</v>
      </c>
    </row>
    <row r="89" spans="1:5" ht="20.25" customHeight="1" x14ac:dyDescent="0.2">
      <c r="A89" s="7" t="s">
        <v>154</v>
      </c>
      <c r="B89" s="8">
        <v>1.8391333536647236</v>
      </c>
      <c r="C89" s="8">
        <v>4.527971110080431</v>
      </c>
      <c r="D89" s="8">
        <v>3.2421379416600837</v>
      </c>
      <c r="E89" s="8">
        <v>2.990535630963187</v>
      </c>
    </row>
    <row r="90" spans="1:5" ht="20.25" customHeight="1" x14ac:dyDescent="0.2">
      <c r="A90" s="36" t="s">
        <v>155</v>
      </c>
      <c r="B90" s="4">
        <v>1.2087369787417312</v>
      </c>
      <c r="C90" s="4">
        <v>5.5132143824886626</v>
      </c>
      <c r="D90" s="4">
        <v>3.8228526428929488</v>
      </c>
      <c r="E90" s="4">
        <v>3.8228526428929488</v>
      </c>
    </row>
    <row r="91" spans="1:5" ht="20.25" customHeight="1" x14ac:dyDescent="0.2">
      <c r="A91" s="7" t="s">
        <v>156</v>
      </c>
      <c r="B91" s="8">
        <v>-0.56798846575386586</v>
      </c>
      <c r="C91" s="8">
        <v>3.9763329408394554</v>
      </c>
      <c r="D91" s="8">
        <v>3.9763329408394554</v>
      </c>
      <c r="E91" s="8">
        <v>4.2973899152777939</v>
      </c>
    </row>
    <row r="92" spans="1:5" ht="20.25" customHeight="1" x14ac:dyDescent="0.2">
      <c r="A92" s="36" t="s">
        <v>157</v>
      </c>
      <c r="B92" s="4">
        <v>0.44589158361352244</v>
      </c>
      <c r="C92" s="4">
        <v>2.9819578981446382</v>
      </c>
      <c r="D92" s="4">
        <v>3.4704315732038138</v>
      </c>
      <c r="E92" s="4">
        <v>4.2513931639807323</v>
      </c>
    </row>
    <row r="93" spans="1:5" ht="20.25" customHeight="1" x14ac:dyDescent="0.2">
      <c r="A93" s="7" t="s">
        <v>158</v>
      </c>
      <c r="B93" s="8">
        <v>7.6943345593938339E-2</v>
      </c>
      <c r="C93" s="8">
        <v>0.95450279091693346</v>
      </c>
      <c r="D93" s="8">
        <v>2.6015578444075871</v>
      </c>
      <c r="E93" s="8">
        <v>3.3285263631672057</v>
      </c>
    </row>
    <row r="94" spans="1:5" ht="20.25" customHeight="1" x14ac:dyDescent="0.2">
      <c r="A94" s="67" t="s">
        <v>159</v>
      </c>
      <c r="B94" s="68">
        <v>1.2036723144425165</v>
      </c>
      <c r="C94" s="68">
        <v>1.07155404164192</v>
      </c>
      <c r="D94" s="68">
        <v>2.2039659929425248</v>
      </c>
      <c r="E94" s="68">
        <v>2.2039659929425248</v>
      </c>
    </row>
    <row r="95" spans="1:5" ht="20.25" customHeight="1" x14ac:dyDescent="0.2">
      <c r="A95" s="65" t="s">
        <v>160</v>
      </c>
      <c r="B95" s="66">
        <v>1.7401157121088806</v>
      </c>
      <c r="C95" s="66">
        <v>3.4116089216227552</v>
      </c>
      <c r="D95" s="66">
        <v>3.4116089216227552</v>
      </c>
      <c r="E95" s="66">
        <v>2.0821333835919775</v>
      </c>
    </row>
    <row r="96" spans="1:5" ht="20.25" customHeight="1" x14ac:dyDescent="0.2">
      <c r="A96" s="63" t="s">
        <v>161</v>
      </c>
      <c r="B96" s="64">
        <v>1.903732603249586</v>
      </c>
      <c r="C96" s="64">
        <v>5.4355069732374028</v>
      </c>
      <c r="D96" s="64">
        <v>4.4364326067463766</v>
      </c>
      <c r="E96" s="64">
        <v>2.7012020494743272</v>
      </c>
    </row>
    <row r="97" spans="1:5" ht="20.25" customHeight="1" x14ac:dyDescent="0.2">
      <c r="A97" s="65" t="s">
        <v>162</v>
      </c>
      <c r="B97" s="66">
        <v>0.31210674235691016</v>
      </c>
      <c r="C97" s="66">
        <v>5.3303136858568134</v>
      </c>
      <c r="D97" s="66">
        <v>4.7401780745466526</v>
      </c>
      <c r="E97" s="66">
        <v>3.8048471679906992</v>
      </c>
    </row>
    <row r="98" spans="1:5" ht="20.25" customHeight="1" x14ac:dyDescent="0.2">
      <c r="A98" s="63" t="s">
        <v>163</v>
      </c>
      <c r="B98" s="64">
        <v>-0.34748233380598181</v>
      </c>
      <c r="C98" s="64">
        <v>3.834209237500974</v>
      </c>
      <c r="D98" s="64">
        <v>4.5073585389044046</v>
      </c>
      <c r="E98" s="64">
        <v>4.5073585389044046</v>
      </c>
    </row>
    <row r="99" spans="1:5" ht="20.25" customHeight="1" x14ac:dyDescent="0.25">
      <c r="A99" s="27" t="s">
        <v>164</v>
      </c>
      <c r="B99" s="27"/>
      <c r="C99" s="21"/>
      <c r="D99" s="21"/>
      <c r="E99" s="21"/>
    </row>
    <row r="100" spans="1:5" ht="20.25" customHeight="1" x14ac:dyDescent="0.25">
      <c r="A100" s="20" t="s">
        <v>50</v>
      </c>
    </row>
    <row r="101" spans="1:5" ht="20.25" customHeight="1" x14ac:dyDescent="0.2"/>
  </sheetData>
  <mergeCells count="1">
    <mergeCell ref="A5:E5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Plan151"/>
  <dimension ref="A1:S104"/>
  <sheetViews>
    <sheetView workbookViewId="0">
      <pane ySplit="7" topLeftCell="A91" activePane="bottomLeft" state="frozen"/>
      <selection activeCell="A105" sqref="A105:XFD296"/>
      <selection pane="bottomLeft" activeCell="G112" sqref="G112"/>
    </sheetView>
  </sheetViews>
  <sheetFormatPr defaultColWidth="8.796875" defaultRowHeight="14.25" x14ac:dyDescent="0.2"/>
  <cols>
    <col min="1" max="2" width="8.796875" style="20"/>
    <col min="3" max="7" width="15.19921875" style="20" customWidth="1"/>
    <col min="8" max="16384" width="8.796875" style="20"/>
  </cols>
  <sheetData>
    <row r="1" spans="1:19" s="19" customFormat="1" ht="20.100000000000001" customHeight="1" x14ac:dyDescent="0.25">
      <c r="A1" s="19" t="s">
        <v>182</v>
      </c>
      <c r="O1" s="22"/>
      <c r="P1" s="22"/>
      <c r="Q1" s="22"/>
      <c r="R1" s="22"/>
      <c r="S1" s="22"/>
    </row>
    <row r="2" spans="1:19" s="19" customFormat="1" ht="20.100000000000001" customHeight="1" x14ac:dyDescent="0.25">
      <c r="A2" s="19" t="s">
        <v>9</v>
      </c>
    </row>
    <row r="3" spans="1:19" s="19" customFormat="1" ht="20.100000000000001" customHeight="1" x14ac:dyDescent="0.25">
      <c r="A3" s="19" t="s">
        <v>14</v>
      </c>
      <c r="O3" s="22"/>
      <c r="P3" s="22"/>
      <c r="Q3" s="22"/>
      <c r="R3" s="22"/>
      <c r="S3" s="22"/>
    </row>
    <row r="4" spans="1:19" s="19" customFormat="1" ht="20.100000000000001" customHeight="1" x14ac:dyDescent="0.25">
      <c r="A4" s="19" t="s">
        <v>173</v>
      </c>
      <c r="L4" s="25"/>
      <c r="M4" s="25"/>
      <c r="N4" s="25"/>
      <c r="O4" s="22"/>
      <c r="P4" s="22"/>
      <c r="Q4" s="22"/>
      <c r="R4" s="22"/>
      <c r="S4" s="22"/>
    </row>
    <row r="5" spans="1:19" ht="20.100000000000001" customHeight="1" x14ac:dyDescent="0.2">
      <c r="A5" s="88" t="s">
        <v>62</v>
      </c>
      <c r="B5" s="88"/>
      <c r="C5" s="88"/>
      <c r="D5" s="88"/>
      <c r="E5" s="88"/>
      <c r="F5" s="88"/>
      <c r="G5" s="88"/>
    </row>
    <row r="6" spans="1:19" ht="20.100000000000001" customHeight="1" x14ac:dyDescent="0.2">
      <c r="A6" s="89" t="s">
        <v>66</v>
      </c>
      <c r="B6" s="90"/>
      <c r="C6" s="93" t="s">
        <v>17</v>
      </c>
      <c r="D6" s="94"/>
      <c r="E6" s="94"/>
      <c r="F6" s="95"/>
      <c r="G6" s="96" t="s">
        <v>18</v>
      </c>
    </row>
    <row r="7" spans="1:19" ht="20.100000000000001" customHeight="1" x14ac:dyDescent="0.2">
      <c r="A7" s="91"/>
      <c r="B7" s="92"/>
      <c r="C7" s="11" t="s">
        <v>19</v>
      </c>
      <c r="D7" s="11" t="s">
        <v>20</v>
      </c>
      <c r="E7" s="11" t="s">
        <v>21</v>
      </c>
      <c r="F7" s="11" t="s">
        <v>22</v>
      </c>
      <c r="G7" s="97"/>
    </row>
    <row r="8" spans="1:19" ht="20.100000000000001" customHeight="1" x14ac:dyDescent="0.2">
      <c r="A8" s="85">
        <v>2002</v>
      </c>
      <c r="B8" s="12" t="s">
        <v>165</v>
      </c>
      <c r="C8" s="13">
        <v>195.50832953860049</v>
      </c>
      <c r="D8" s="13">
        <v>74.484762964630079</v>
      </c>
      <c r="E8" s="13">
        <v>73.247162792708011</v>
      </c>
      <c r="F8" s="13">
        <v>73.735484670668285</v>
      </c>
      <c r="G8" s="13">
        <v>74.125585486537872</v>
      </c>
    </row>
    <row r="9" spans="1:19" ht="20.100000000000001" customHeight="1" x14ac:dyDescent="0.2">
      <c r="A9" s="86"/>
      <c r="B9" s="17" t="s">
        <v>166</v>
      </c>
      <c r="C9" s="5">
        <v>224.42819791188845</v>
      </c>
      <c r="D9" s="5">
        <v>86.54289297704446</v>
      </c>
      <c r="E9" s="5">
        <v>72.011976429656897</v>
      </c>
      <c r="F9" s="5">
        <v>75.208995713737906</v>
      </c>
      <c r="G9" s="5">
        <v>75.6954307093567</v>
      </c>
    </row>
    <row r="10" spans="1:19" ht="20.100000000000001" customHeight="1" x14ac:dyDescent="0.2">
      <c r="A10" s="86"/>
      <c r="B10" s="14" t="s">
        <v>167</v>
      </c>
      <c r="C10" s="9">
        <v>186.54743153825973</v>
      </c>
      <c r="D10" s="9">
        <v>90.727362856273785</v>
      </c>
      <c r="E10" s="9">
        <v>70.707738893921373</v>
      </c>
      <c r="F10" s="9">
        <v>74.992549878767207</v>
      </c>
      <c r="G10" s="9">
        <v>74.867651491962832</v>
      </c>
    </row>
    <row r="11" spans="1:19" ht="20.100000000000001" customHeight="1" x14ac:dyDescent="0.2">
      <c r="A11" s="87"/>
      <c r="B11" s="18" t="s">
        <v>168</v>
      </c>
      <c r="C11" s="15">
        <v>173.42058048487857</v>
      </c>
      <c r="D11" s="15">
        <v>90.090190197195611</v>
      </c>
      <c r="E11" s="15">
        <v>70.124722107996703</v>
      </c>
      <c r="F11" s="15">
        <v>74.389868472701323</v>
      </c>
      <c r="G11" s="15">
        <v>74.93615337668075</v>
      </c>
    </row>
    <row r="12" spans="1:19" ht="20.100000000000001" customHeight="1" x14ac:dyDescent="0.2">
      <c r="A12" s="85">
        <v>2003</v>
      </c>
      <c r="B12" s="12" t="s">
        <v>165</v>
      </c>
      <c r="C12" s="13">
        <v>208.57085702847721</v>
      </c>
      <c r="D12" s="13">
        <v>80.702236288268011</v>
      </c>
      <c r="E12" s="13">
        <v>67.191509950007415</v>
      </c>
      <c r="F12" s="13">
        <v>70.16440699999049</v>
      </c>
      <c r="G12" s="13">
        <v>70.387327362691181</v>
      </c>
    </row>
    <row r="13" spans="1:19" ht="20.100000000000001" customHeight="1" x14ac:dyDescent="0.2">
      <c r="A13" s="86"/>
      <c r="B13" s="17" t="s">
        <v>166</v>
      </c>
      <c r="C13" s="5">
        <v>224.64233101307582</v>
      </c>
      <c r="D13" s="5">
        <v>79.254327680701024</v>
      </c>
      <c r="E13" s="5">
        <v>69.078791995336601</v>
      </c>
      <c r="F13" s="5">
        <v>71.388447497906313</v>
      </c>
      <c r="G13" s="5">
        <v>72.053145686113069</v>
      </c>
    </row>
    <row r="14" spans="1:19" ht="20.100000000000001" customHeight="1" x14ac:dyDescent="0.2">
      <c r="A14" s="86"/>
      <c r="B14" s="14" t="s">
        <v>167</v>
      </c>
      <c r="C14" s="9">
        <v>181.27885206739793</v>
      </c>
      <c r="D14" s="9">
        <v>84.386035460318922</v>
      </c>
      <c r="E14" s="9">
        <v>72.173908945766684</v>
      </c>
      <c r="F14" s="9">
        <v>74.875959977313087</v>
      </c>
      <c r="G14" s="9">
        <v>75.208343126424737</v>
      </c>
    </row>
    <row r="15" spans="1:19" ht="20.100000000000001" customHeight="1" x14ac:dyDescent="0.2">
      <c r="A15" s="87"/>
      <c r="B15" s="18" t="s">
        <v>168</v>
      </c>
      <c r="C15" s="15">
        <v>165.74271900469469</v>
      </c>
      <c r="D15" s="15">
        <v>85.36675792681001</v>
      </c>
      <c r="E15" s="15">
        <v>74.069521534890242</v>
      </c>
      <c r="F15" s="15">
        <v>76.580222132582648</v>
      </c>
      <c r="G15" s="15">
        <v>77.826563358921462</v>
      </c>
    </row>
    <row r="16" spans="1:19" ht="20.100000000000001" customHeight="1" x14ac:dyDescent="0.2">
      <c r="A16" s="85">
        <v>2004</v>
      </c>
      <c r="B16" s="12" t="s">
        <v>165</v>
      </c>
      <c r="C16" s="13">
        <v>209.79467932260323</v>
      </c>
      <c r="D16" s="13">
        <v>81.999048888792757</v>
      </c>
      <c r="E16" s="13">
        <v>72.07050670905214</v>
      </c>
      <c r="F16" s="13">
        <v>74.296043968073647</v>
      </c>
      <c r="G16" s="13">
        <v>75.034696704783173</v>
      </c>
    </row>
    <row r="17" spans="1:8" ht="20.100000000000001" customHeight="1" x14ac:dyDescent="0.2">
      <c r="A17" s="86"/>
      <c r="B17" s="17" t="s">
        <v>166</v>
      </c>
      <c r="C17" s="5">
        <v>226.70812137568319</v>
      </c>
      <c r="D17" s="5">
        <v>86.969753300907371</v>
      </c>
      <c r="E17" s="5">
        <v>74.123609177691293</v>
      </c>
      <c r="F17" s="5">
        <v>76.990123937038774</v>
      </c>
      <c r="G17" s="5">
        <v>77.739197765863409</v>
      </c>
    </row>
    <row r="18" spans="1:8" ht="20.100000000000001" customHeight="1" x14ac:dyDescent="0.2">
      <c r="A18" s="86"/>
      <c r="B18" s="14" t="s">
        <v>167</v>
      </c>
      <c r="C18" s="9">
        <v>185.75341062874531</v>
      </c>
      <c r="D18" s="9">
        <v>93.120559822572957</v>
      </c>
      <c r="E18" s="9">
        <v>75.441133163285642</v>
      </c>
      <c r="F18" s="9">
        <v>79.33207601300218</v>
      </c>
      <c r="G18" s="9">
        <v>79.53024799699277</v>
      </c>
    </row>
    <row r="19" spans="1:8" ht="20.100000000000001" customHeight="1" x14ac:dyDescent="0.2">
      <c r="A19" s="87"/>
      <c r="B19" s="18" t="s">
        <v>168</v>
      </c>
      <c r="C19" s="15">
        <v>164.09105550953939</v>
      </c>
      <c r="D19" s="15">
        <v>89.044347101700978</v>
      </c>
      <c r="E19" s="15">
        <v>77.206299800174889</v>
      </c>
      <c r="F19" s="15">
        <v>79.817063826253218</v>
      </c>
      <c r="G19" s="15">
        <v>80.55614507093803</v>
      </c>
    </row>
    <row r="20" spans="1:8" ht="20.100000000000001" customHeight="1" x14ac:dyDescent="0.2">
      <c r="A20" s="85">
        <v>2005</v>
      </c>
      <c r="B20" s="12" t="s">
        <v>165</v>
      </c>
      <c r="C20" s="13">
        <v>147.57698689490039</v>
      </c>
      <c r="D20" s="13">
        <v>83.704389508779812</v>
      </c>
      <c r="E20" s="13">
        <v>74.698022591595887</v>
      </c>
      <c r="F20" s="13">
        <v>76.655754700546609</v>
      </c>
      <c r="G20" s="13">
        <v>77.131528403711329</v>
      </c>
    </row>
    <row r="21" spans="1:8" ht="20.100000000000001" customHeight="1" x14ac:dyDescent="0.2">
      <c r="A21" s="86"/>
      <c r="B21" s="17" t="s">
        <v>166</v>
      </c>
      <c r="C21" s="5">
        <v>157.60600220140509</v>
      </c>
      <c r="D21" s="5">
        <v>90.133769405460086</v>
      </c>
      <c r="E21" s="5">
        <v>77.06217861937624</v>
      </c>
      <c r="F21" s="5">
        <v>79.935483801133742</v>
      </c>
      <c r="G21" s="5">
        <v>80.575429103815296</v>
      </c>
    </row>
    <row r="22" spans="1:8" ht="20.100000000000001" customHeight="1" x14ac:dyDescent="0.2">
      <c r="A22" s="86"/>
      <c r="B22" s="14" t="s">
        <v>167</v>
      </c>
      <c r="C22" s="9">
        <v>132.66406000190065</v>
      </c>
      <c r="D22" s="9">
        <v>94.028015636918624</v>
      </c>
      <c r="E22" s="9">
        <v>78.96619221608411</v>
      </c>
      <c r="F22" s="9">
        <v>82.270800680547836</v>
      </c>
      <c r="G22" s="9">
        <v>82.606160053861061</v>
      </c>
    </row>
    <row r="23" spans="1:8" ht="20.100000000000001" customHeight="1" x14ac:dyDescent="0.2">
      <c r="A23" s="87"/>
      <c r="B23" s="18" t="s">
        <v>168</v>
      </c>
      <c r="C23" s="15">
        <v>131.92486852012908</v>
      </c>
      <c r="D23" s="15">
        <v>90.191142033114033</v>
      </c>
      <c r="E23" s="15">
        <v>80.705595587623662</v>
      </c>
      <c r="F23" s="15">
        <v>82.751327515348308</v>
      </c>
      <c r="G23" s="15">
        <v>83.757391683623112</v>
      </c>
    </row>
    <row r="24" spans="1:8" ht="20.100000000000001" customHeight="1" x14ac:dyDescent="0.2">
      <c r="A24" s="85">
        <v>2006</v>
      </c>
      <c r="B24" s="12" t="s">
        <v>165</v>
      </c>
      <c r="C24" s="13">
        <v>134.38688035503765</v>
      </c>
      <c r="D24" s="13">
        <v>86.806219256436819</v>
      </c>
      <c r="E24" s="13">
        <v>78.311656563931606</v>
      </c>
      <c r="F24" s="13">
        <v>80.153816060075542</v>
      </c>
      <c r="G24" s="13">
        <v>80.774263977831836</v>
      </c>
    </row>
    <row r="25" spans="1:8" ht="20.100000000000001" customHeight="1" x14ac:dyDescent="0.2">
      <c r="A25" s="86"/>
      <c r="B25" s="17" t="s">
        <v>166</v>
      </c>
      <c r="C25" s="5">
        <v>139.16809688172336</v>
      </c>
      <c r="D25" s="5">
        <v>88.162994333222571</v>
      </c>
      <c r="E25" s="5">
        <v>80.41511824706798</v>
      </c>
      <c r="F25" s="5">
        <v>82.092595360186166</v>
      </c>
      <c r="G25" s="5">
        <v>82.906636974026824</v>
      </c>
    </row>
    <row r="26" spans="1:8" ht="20.100000000000001" customHeight="1" x14ac:dyDescent="0.2">
      <c r="A26" s="86"/>
      <c r="B26" s="14" t="s">
        <v>167</v>
      </c>
      <c r="C26" s="9">
        <v>129.20372673010687</v>
      </c>
      <c r="D26" s="9">
        <v>90.8086755218972</v>
      </c>
      <c r="E26" s="9">
        <v>82.475536007894632</v>
      </c>
      <c r="F26" s="9">
        <v>84.272265956867159</v>
      </c>
      <c r="G26" s="9">
        <v>84.629933582218158</v>
      </c>
    </row>
    <row r="27" spans="1:8" ht="20.100000000000001" customHeight="1" x14ac:dyDescent="0.2">
      <c r="A27" s="87"/>
      <c r="B27" s="18" t="s">
        <v>168</v>
      </c>
      <c r="C27" s="15">
        <v>115.88576641441905</v>
      </c>
      <c r="D27" s="15">
        <v>86.891964381594221</v>
      </c>
      <c r="E27" s="15">
        <v>85.137008460406477</v>
      </c>
      <c r="F27" s="15">
        <v>85.470389337621739</v>
      </c>
      <c r="G27" s="15">
        <v>86.190959941559811</v>
      </c>
    </row>
    <row r="28" spans="1:8" ht="20.100000000000001" customHeight="1" x14ac:dyDescent="0.2">
      <c r="A28" s="85">
        <v>2007</v>
      </c>
      <c r="B28" s="12" t="s">
        <v>165</v>
      </c>
      <c r="C28" s="13">
        <v>127.80084735369223</v>
      </c>
      <c r="D28" s="13">
        <v>84.574135863474339</v>
      </c>
      <c r="E28" s="13">
        <v>83.096740809359744</v>
      </c>
      <c r="F28" s="13">
        <v>83.446401755007159</v>
      </c>
      <c r="G28" s="13">
        <v>83.876292935074517</v>
      </c>
    </row>
    <row r="29" spans="1:8" ht="20.100000000000001" customHeight="1" x14ac:dyDescent="0.2">
      <c r="A29" s="86"/>
      <c r="B29" s="17" t="s">
        <v>166</v>
      </c>
      <c r="C29" s="5">
        <v>128.6904459104239</v>
      </c>
      <c r="D29" s="5">
        <v>91.838107600082978</v>
      </c>
      <c r="E29" s="5">
        <v>87.661523547679153</v>
      </c>
      <c r="F29" s="5">
        <v>88.570023311588287</v>
      </c>
      <c r="G29" s="5">
        <v>89.00228797523387</v>
      </c>
    </row>
    <row r="30" spans="1:8" ht="20.100000000000001" customHeight="1" x14ac:dyDescent="0.2">
      <c r="A30" s="86"/>
      <c r="B30" s="14" t="s">
        <v>167</v>
      </c>
      <c r="C30" s="9">
        <v>117.56988371473444</v>
      </c>
      <c r="D30" s="9">
        <v>97.154382380407114</v>
      </c>
      <c r="E30" s="9">
        <v>89.761366805849875</v>
      </c>
      <c r="F30" s="9">
        <v>91.329165038735979</v>
      </c>
      <c r="G30" s="9">
        <v>91.263351291147032</v>
      </c>
    </row>
    <row r="31" spans="1:8" ht="20.100000000000001" customHeight="1" x14ac:dyDescent="0.2">
      <c r="A31" s="87"/>
      <c r="B31" s="18" t="s">
        <v>168</v>
      </c>
      <c r="C31" s="15">
        <v>109.90327106720093</v>
      </c>
      <c r="D31" s="15">
        <v>95.067272449446094</v>
      </c>
      <c r="E31" s="15">
        <v>92.638722996342025</v>
      </c>
      <c r="F31" s="15">
        <v>93.168179367742809</v>
      </c>
      <c r="G31" s="15">
        <v>93.986228297448292</v>
      </c>
    </row>
    <row r="32" spans="1:8" ht="20.100000000000001" customHeight="1" x14ac:dyDescent="0.2">
      <c r="A32" s="85">
        <v>2008</v>
      </c>
      <c r="B32" s="12" t="s">
        <v>165</v>
      </c>
      <c r="C32" s="13">
        <v>101.23968558771912</v>
      </c>
      <c r="D32" s="13">
        <v>92.815027224161909</v>
      </c>
      <c r="E32" s="13">
        <v>89.088571616960976</v>
      </c>
      <c r="F32" s="13">
        <v>89.87707899250006</v>
      </c>
      <c r="G32" s="13">
        <v>90.259453584729172</v>
      </c>
      <c r="H32" s="26"/>
    </row>
    <row r="33" spans="1:8" ht="20.100000000000001" customHeight="1" x14ac:dyDescent="0.2">
      <c r="A33" s="86"/>
      <c r="B33" s="17" t="s">
        <v>166</v>
      </c>
      <c r="C33" s="5">
        <v>101.2897903818606</v>
      </c>
      <c r="D33" s="5">
        <v>100.50858564965661</v>
      </c>
      <c r="E33" s="5">
        <v>93.620216245872214</v>
      </c>
      <c r="F33" s="5">
        <v>95.078331596627891</v>
      </c>
      <c r="G33" s="5">
        <v>95.542619383331143</v>
      </c>
      <c r="H33" s="26"/>
    </row>
    <row r="34" spans="1:8" ht="20.100000000000001" customHeight="1" x14ac:dyDescent="0.2">
      <c r="A34" s="86"/>
      <c r="B34" s="14" t="s">
        <v>167</v>
      </c>
      <c r="C34" s="9">
        <v>94.535336459900876</v>
      </c>
      <c r="D34" s="9">
        <v>105.07825419533951</v>
      </c>
      <c r="E34" s="9">
        <v>97.320258141294744</v>
      </c>
      <c r="F34" s="9">
        <v>98.953149731397161</v>
      </c>
      <c r="G34" s="9">
        <v>98.851370179475907</v>
      </c>
      <c r="H34" s="26"/>
    </row>
    <row r="35" spans="1:8" ht="20.100000000000001" customHeight="1" x14ac:dyDescent="0.2">
      <c r="A35" s="87"/>
      <c r="B35" s="18" t="s">
        <v>168</v>
      </c>
      <c r="C35" s="15">
        <v>89.618383250395937</v>
      </c>
      <c r="D35" s="15">
        <v>91.122653066550313</v>
      </c>
      <c r="E35" s="15">
        <v>96.395718469352218</v>
      </c>
      <c r="F35" s="15">
        <v>95.243667133834094</v>
      </c>
      <c r="G35" s="15">
        <v>95.420672963332848</v>
      </c>
      <c r="H35" s="26"/>
    </row>
    <row r="36" spans="1:8" ht="20.100000000000001" customHeight="1" x14ac:dyDescent="0.2">
      <c r="A36" s="85">
        <v>2009</v>
      </c>
      <c r="B36" s="12" t="s">
        <v>165</v>
      </c>
      <c r="C36" s="13">
        <v>104.01605259945661</v>
      </c>
      <c r="D36" s="13">
        <v>80.020493760075453</v>
      </c>
      <c r="E36" s="13">
        <v>90.787702112495865</v>
      </c>
      <c r="F36" s="13">
        <v>88.512543500642252</v>
      </c>
      <c r="G36" s="13">
        <v>87.621292046974403</v>
      </c>
      <c r="H36" s="26"/>
    </row>
    <row r="37" spans="1:8" ht="20.100000000000001" customHeight="1" x14ac:dyDescent="0.2">
      <c r="A37" s="86"/>
      <c r="B37" s="17" t="s">
        <v>166</v>
      </c>
      <c r="C37" s="5">
        <v>113.26106143171137</v>
      </c>
      <c r="D37" s="5">
        <v>88.7666352179901</v>
      </c>
      <c r="E37" s="5">
        <v>93.851280561698857</v>
      </c>
      <c r="F37" s="5">
        <v>92.781403167944063</v>
      </c>
      <c r="G37" s="5">
        <v>92.437547247245632</v>
      </c>
      <c r="H37" s="26"/>
    </row>
    <row r="38" spans="1:8" ht="20.100000000000001" customHeight="1" x14ac:dyDescent="0.2">
      <c r="A38" s="86"/>
      <c r="B38" s="14" t="s">
        <v>167</v>
      </c>
      <c r="C38" s="9">
        <v>100.88736817006992</v>
      </c>
      <c r="D38" s="9">
        <v>96.904661966799452</v>
      </c>
      <c r="E38" s="9">
        <v>96.446046966674885</v>
      </c>
      <c r="F38" s="9">
        <v>96.534236591783213</v>
      </c>
      <c r="G38" s="9">
        <v>96.467087824611895</v>
      </c>
      <c r="H38" s="26"/>
    </row>
    <row r="39" spans="1:8" ht="20.100000000000001" customHeight="1" x14ac:dyDescent="0.2">
      <c r="A39" s="87"/>
      <c r="B39" s="18" t="s">
        <v>168</v>
      </c>
      <c r="C39" s="15">
        <v>88.405222987177737</v>
      </c>
      <c r="D39" s="15">
        <v>97.997572160289891</v>
      </c>
      <c r="E39" s="15">
        <v>98.442631751979732</v>
      </c>
      <c r="F39" s="15">
        <v>98.327442203296599</v>
      </c>
      <c r="G39" s="15">
        <v>99.2741040018755</v>
      </c>
      <c r="H39" s="26"/>
    </row>
    <row r="40" spans="1:8" ht="20.100000000000001" customHeight="1" x14ac:dyDescent="0.2">
      <c r="A40" s="85">
        <v>2010</v>
      </c>
      <c r="B40" s="12" t="s">
        <v>165</v>
      </c>
      <c r="C40" s="13">
        <v>107.34211269975732</v>
      </c>
      <c r="D40" s="13">
        <v>96.819929484038923</v>
      </c>
      <c r="E40" s="13">
        <v>96.378378163399461</v>
      </c>
      <c r="F40" s="13">
        <v>96.483705930514091</v>
      </c>
      <c r="G40" s="13">
        <v>96.411342310991714</v>
      </c>
      <c r="H40" s="26"/>
    </row>
    <row r="41" spans="1:8" ht="20.100000000000001" customHeight="1" x14ac:dyDescent="0.2">
      <c r="A41" s="86"/>
      <c r="B41" s="17" t="s">
        <v>166</v>
      </c>
      <c r="C41" s="5">
        <v>106.71238830744717</v>
      </c>
      <c r="D41" s="5">
        <v>101.98724222086416</v>
      </c>
      <c r="E41" s="5">
        <v>99.045834229557144</v>
      </c>
      <c r="F41" s="5">
        <v>99.684329364041574</v>
      </c>
      <c r="G41" s="5">
        <v>99.646594596998185</v>
      </c>
      <c r="H41" s="26"/>
    </row>
    <row r="42" spans="1:8" ht="20.100000000000001" customHeight="1" x14ac:dyDescent="0.2">
      <c r="A42" s="86"/>
      <c r="B42" s="14" t="s">
        <v>167</v>
      </c>
      <c r="C42" s="9">
        <v>96.358243255659957</v>
      </c>
      <c r="D42" s="9">
        <v>103.05805667133713</v>
      </c>
      <c r="E42" s="9">
        <v>101.2097133352633</v>
      </c>
      <c r="F42" s="9">
        <v>101.60159482922775</v>
      </c>
      <c r="G42" s="9">
        <v>101.29685718802959</v>
      </c>
      <c r="H42" s="26"/>
    </row>
    <row r="43" spans="1:8" ht="20.100000000000001" customHeight="1" x14ac:dyDescent="0.2">
      <c r="A43" s="87"/>
      <c r="B43" s="18" t="s">
        <v>168</v>
      </c>
      <c r="C43" s="15">
        <v>89.587255737135592</v>
      </c>
      <c r="D43" s="15">
        <v>98.134771623759846</v>
      </c>
      <c r="E43" s="15">
        <v>103.36607427178006</v>
      </c>
      <c r="F43" s="15">
        <v>102.23036987621664</v>
      </c>
      <c r="G43" s="15">
        <v>102.64520590398048</v>
      </c>
      <c r="H43" s="26"/>
    </row>
    <row r="44" spans="1:8" ht="20.100000000000001" customHeight="1" x14ac:dyDescent="0.2">
      <c r="A44" s="85">
        <v>2011</v>
      </c>
      <c r="B44" s="12" t="s">
        <v>165</v>
      </c>
      <c r="C44" s="13">
        <v>103.01771040841504</v>
      </c>
      <c r="D44" s="13">
        <v>98.57841743064715</v>
      </c>
      <c r="E44" s="13">
        <v>99.608942504848571</v>
      </c>
      <c r="F44" s="13">
        <v>99.389755563548704</v>
      </c>
      <c r="G44" s="13">
        <v>99.431666621299755</v>
      </c>
      <c r="H44" s="26"/>
    </row>
    <row r="45" spans="1:8" ht="20.100000000000001" customHeight="1" x14ac:dyDescent="0.2">
      <c r="A45" s="86"/>
      <c r="B45" s="17" t="s">
        <v>166</v>
      </c>
      <c r="C45" s="5">
        <v>100.73898448636943</v>
      </c>
      <c r="D45" s="5">
        <v>102.29281519262402</v>
      </c>
      <c r="E45" s="5">
        <v>102.89992711516224</v>
      </c>
      <c r="F45" s="5">
        <v>102.76712655859704</v>
      </c>
      <c r="G45" s="5">
        <v>102.47864498713312</v>
      </c>
      <c r="H45" s="26"/>
    </row>
    <row r="46" spans="1:8" ht="20.100000000000001" customHeight="1" x14ac:dyDescent="0.2">
      <c r="A46" s="86"/>
      <c r="B46" s="14" t="s">
        <v>167</v>
      </c>
      <c r="C46" s="9">
        <v>91.354020463749279</v>
      </c>
      <c r="D46" s="9">
        <v>107.79852911564319</v>
      </c>
      <c r="E46" s="9">
        <v>104.50832693120867</v>
      </c>
      <c r="F46" s="9">
        <v>105.20613483707251</v>
      </c>
      <c r="G46" s="9">
        <v>104.83541978612355</v>
      </c>
      <c r="H46" s="26"/>
    </row>
    <row r="47" spans="1:8" ht="20.100000000000001" customHeight="1" x14ac:dyDescent="0.2">
      <c r="A47" s="87"/>
      <c r="B47" s="18" t="s">
        <v>168</v>
      </c>
      <c r="C47" s="15">
        <v>88.361703950510829</v>
      </c>
      <c r="D47" s="15">
        <v>100.86872125560831</v>
      </c>
      <c r="E47" s="15">
        <v>105.52878752236752</v>
      </c>
      <c r="F47" s="15">
        <v>104.50892691182877</v>
      </c>
      <c r="G47" s="15">
        <v>104.63236146538149</v>
      </c>
      <c r="H47" s="26"/>
    </row>
    <row r="48" spans="1:8" ht="20.100000000000001" customHeight="1" x14ac:dyDescent="0.2">
      <c r="A48" s="85">
        <v>2012</v>
      </c>
      <c r="B48" s="12" t="s">
        <v>165</v>
      </c>
      <c r="C48" s="13">
        <v>86.502519923761369</v>
      </c>
      <c r="D48" s="13">
        <v>92.924335858806742</v>
      </c>
      <c r="E48" s="13">
        <v>102.24862184899344</v>
      </c>
      <c r="F48" s="13">
        <v>100.28363990895961</v>
      </c>
      <c r="G48" s="13">
        <v>99.560810534448549</v>
      </c>
      <c r="H48" s="26"/>
    </row>
    <row r="49" spans="1:8" ht="20.100000000000001" customHeight="1" x14ac:dyDescent="0.2">
      <c r="A49" s="86"/>
      <c r="B49" s="17" t="s">
        <v>166</v>
      </c>
      <c r="C49" s="5">
        <v>87.402144830385112</v>
      </c>
      <c r="D49" s="5">
        <v>95.840009292000317</v>
      </c>
      <c r="E49" s="5">
        <v>103.66475832599998</v>
      </c>
      <c r="F49" s="5">
        <v>102.01205054698879</v>
      </c>
      <c r="G49" s="5">
        <v>101.40424630504698</v>
      </c>
      <c r="H49" s="26"/>
    </row>
    <row r="50" spans="1:8" ht="20.100000000000001" customHeight="1" x14ac:dyDescent="0.2">
      <c r="A50" s="86"/>
      <c r="B50" s="14" t="s">
        <v>167</v>
      </c>
      <c r="C50" s="9">
        <v>80.525745103061908</v>
      </c>
      <c r="D50" s="9">
        <v>104.11785899855141</v>
      </c>
      <c r="E50" s="9">
        <v>106.44089378626738</v>
      </c>
      <c r="F50" s="9">
        <v>105.92656973680202</v>
      </c>
      <c r="G50" s="9">
        <v>105.49006340384437</v>
      </c>
      <c r="H50" s="26"/>
    </row>
    <row r="51" spans="1:8" ht="20.100000000000001" customHeight="1" x14ac:dyDescent="0.2">
      <c r="A51" s="87"/>
      <c r="B51" s="18" t="s">
        <v>168</v>
      </c>
      <c r="C51" s="15">
        <v>75.951938858782412</v>
      </c>
      <c r="D51" s="15">
        <v>97.749310145839047</v>
      </c>
      <c r="E51" s="15">
        <v>106.60273617977863</v>
      </c>
      <c r="F51" s="15">
        <v>104.72148925414034</v>
      </c>
      <c r="G51" s="15">
        <v>104.78578399428856</v>
      </c>
      <c r="H51" s="26"/>
    </row>
    <row r="52" spans="1:8" ht="20.100000000000001" customHeight="1" x14ac:dyDescent="0.2">
      <c r="A52" s="85">
        <v>2013</v>
      </c>
      <c r="B52" s="12" t="s">
        <v>165</v>
      </c>
      <c r="C52" s="13">
        <v>114.5505940611469</v>
      </c>
      <c r="D52" s="13">
        <v>92.684709195143839</v>
      </c>
      <c r="E52" s="13">
        <v>101.38744440149704</v>
      </c>
      <c r="F52" s="13">
        <v>99.594532975865931</v>
      </c>
      <c r="G52" s="13">
        <v>98.97305916480552</v>
      </c>
      <c r="H52" s="26"/>
    </row>
    <row r="53" spans="1:8" ht="20.100000000000001" customHeight="1" x14ac:dyDescent="0.2">
      <c r="A53" s="86"/>
      <c r="B53" s="17" t="s">
        <v>166</v>
      </c>
      <c r="C53" s="5">
        <v>115.7796082498507</v>
      </c>
      <c r="D53" s="5">
        <v>104.00436728664516</v>
      </c>
      <c r="E53" s="5">
        <v>105.29186633876276</v>
      </c>
      <c r="F53" s="5">
        <v>104.99796559177474</v>
      </c>
      <c r="G53" s="5">
        <v>104.39649682143492</v>
      </c>
      <c r="H53" s="26"/>
    </row>
    <row r="54" spans="1:8" ht="20.100000000000001" customHeight="1" x14ac:dyDescent="0.2">
      <c r="A54" s="86"/>
      <c r="B54" s="14" t="s">
        <v>167</v>
      </c>
      <c r="C54" s="9">
        <v>105.63738767228934</v>
      </c>
      <c r="D54" s="9">
        <v>108.70693356621263</v>
      </c>
      <c r="E54" s="9">
        <v>108.28637845648346</v>
      </c>
      <c r="F54" s="9">
        <v>108.3235032480987</v>
      </c>
      <c r="G54" s="9">
        <v>107.82619852964761</v>
      </c>
      <c r="H54" s="26"/>
    </row>
    <row r="55" spans="1:8" ht="20.100000000000001" customHeight="1" x14ac:dyDescent="0.2">
      <c r="A55" s="87"/>
      <c r="B55" s="18" t="s">
        <v>168</v>
      </c>
      <c r="C55" s="15">
        <v>107.01604560222439</v>
      </c>
      <c r="D55" s="15">
        <v>96.714826321238661</v>
      </c>
      <c r="E55" s="15">
        <v>109.74001139654906</v>
      </c>
      <c r="F55" s="15">
        <v>107.05020477537012</v>
      </c>
      <c r="G55" s="15">
        <v>107.02764347028342</v>
      </c>
      <c r="H55" s="26"/>
    </row>
    <row r="56" spans="1:8" ht="20.100000000000001" customHeight="1" x14ac:dyDescent="0.2">
      <c r="A56" s="85">
        <v>2014</v>
      </c>
      <c r="B56" s="12" t="s">
        <v>165</v>
      </c>
      <c r="C56" s="13">
        <v>114.29845004191058</v>
      </c>
      <c r="D56" s="13">
        <v>90.178603672235752</v>
      </c>
      <c r="E56" s="13">
        <v>106.76115216117621</v>
      </c>
      <c r="F56" s="13">
        <v>103.4823972649631</v>
      </c>
      <c r="G56" s="13">
        <v>102.40642140570974</v>
      </c>
      <c r="H56" s="26"/>
    </row>
    <row r="57" spans="1:8" ht="20.100000000000001" customHeight="1" x14ac:dyDescent="0.2">
      <c r="A57" s="86"/>
      <c r="B57" s="17" t="s">
        <v>166</v>
      </c>
      <c r="C57" s="5">
        <v>115.8447485755443</v>
      </c>
      <c r="D57" s="5">
        <v>92.767439524772399</v>
      </c>
      <c r="E57" s="5">
        <v>104.91855492731536</v>
      </c>
      <c r="F57" s="5">
        <v>102.4958818801644</v>
      </c>
      <c r="G57" s="5">
        <v>102.03197788758121</v>
      </c>
      <c r="H57" s="26"/>
    </row>
    <row r="58" spans="1:8" ht="20.100000000000001" customHeight="1" x14ac:dyDescent="0.2">
      <c r="A58" s="86"/>
      <c r="B58" s="14" t="s">
        <v>167</v>
      </c>
      <c r="C58" s="9">
        <v>101.51254923469266</v>
      </c>
      <c r="D58" s="9">
        <v>98.364969541130677</v>
      </c>
      <c r="E58" s="9">
        <v>106.29222188995142</v>
      </c>
      <c r="F58" s="9">
        <v>104.6583721506023</v>
      </c>
      <c r="G58" s="9">
        <v>104.22722247379447</v>
      </c>
      <c r="H58" s="26"/>
    </row>
    <row r="59" spans="1:8" ht="20.100000000000001" customHeight="1" x14ac:dyDescent="0.2">
      <c r="A59" s="87"/>
      <c r="B59" s="18" t="s">
        <v>168</v>
      </c>
      <c r="C59" s="15">
        <v>96.225595144059795</v>
      </c>
      <c r="D59" s="15">
        <v>89.301858528059242</v>
      </c>
      <c r="E59" s="15">
        <v>109.05020771925172</v>
      </c>
      <c r="F59" s="15">
        <v>105.13615209975423</v>
      </c>
      <c r="G59" s="15">
        <v>105.30606103860636</v>
      </c>
      <c r="H59" s="26"/>
    </row>
    <row r="60" spans="1:8" ht="20.100000000000001" customHeight="1" x14ac:dyDescent="0.2">
      <c r="A60" s="85">
        <v>2015</v>
      </c>
      <c r="B60" s="12" t="s">
        <v>165</v>
      </c>
      <c r="C60" s="13">
        <v>111.22317331809479</v>
      </c>
      <c r="D60" s="13">
        <v>82.951873456967974</v>
      </c>
      <c r="E60" s="13">
        <v>103.67060475050651</v>
      </c>
      <c r="F60" s="13">
        <v>99.599174096210206</v>
      </c>
      <c r="G60" s="13">
        <v>98.700094532509397</v>
      </c>
      <c r="H60" s="26"/>
    </row>
    <row r="61" spans="1:8" ht="20.100000000000001" customHeight="1" x14ac:dyDescent="0.2">
      <c r="A61" s="86"/>
      <c r="B61" s="17" t="s">
        <v>166</v>
      </c>
      <c r="C61" s="5">
        <v>124.86638752401795</v>
      </c>
      <c r="D61" s="5">
        <v>82.627384392983117</v>
      </c>
      <c r="E61" s="5">
        <v>103.08028466741909</v>
      </c>
      <c r="F61" s="5">
        <v>99.083791511839294</v>
      </c>
      <c r="G61" s="5">
        <v>98.305017326831219</v>
      </c>
      <c r="H61" s="26"/>
    </row>
    <row r="62" spans="1:8" ht="20.100000000000001" customHeight="1" x14ac:dyDescent="0.2">
      <c r="A62" s="86"/>
      <c r="B62" s="14" t="s">
        <v>167</v>
      </c>
      <c r="C62" s="9">
        <v>103.9464938584693</v>
      </c>
      <c r="D62" s="9">
        <v>83.645077905430014</v>
      </c>
      <c r="E62" s="9">
        <v>102.83435122964393</v>
      </c>
      <c r="F62" s="9">
        <v>99.047651662081137</v>
      </c>
      <c r="G62" s="9">
        <v>97.899817697065501</v>
      </c>
      <c r="H62" s="26"/>
    </row>
    <row r="63" spans="1:8" ht="20.100000000000001" customHeight="1" x14ac:dyDescent="0.2">
      <c r="A63" s="87"/>
      <c r="B63" s="18" t="s">
        <v>168</v>
      </c>
      <c r="C63" s="15">
        <v>91.582676169736871</v>
      </c>
      <c r="D63" s="15">
        <v>75.448049711253915</v>
      </c>
      <c r="E63" s="15">
        <v>103.63655076440875</v>
      </c>
      <c r="F63" s="15">
        <v>98.094986748944123</v>
      </c>
      <c r="G63" s="15">
        <v>97.131768014273533</v>
      </c>
      <c r="H63" s="26"/>
    </row>
    <row r="64" spans="1:8" ht="20.100000000000001" customHeight="1" x14ac:dyDescent="0.2">
      <c r="A64" s="85">
        <v>2016</v>
      </c>
      <c r="B64" s="12" t="s">
        <v>165</v>
      </c>
      <c r="C64" s="13">
        <v>119.2379205451673</v>
      </c>
      <c r="D64" s="13">
        <v>72.614726606124222</v>
      </c>
      <c r="E64" s="13">
        <v>99.14272087056581</v>
      </c>
      <c r="F64" s="13">
        <v>93.982250179296344</v>
      </c>
      <c r="G64" s="13">
        <v>92.410439938313786</v>
      </c>
      <c r="H64" s="26"/>
    </row>
    <row r="65" spans="1:8" ht="20.100000000000001" customHeight="1" x14ac:dyDescent="0.2">
      <c r="A65" s="86"/>
      <c r="B65" s="17" t="s">
        <v>166</v>
      </c>
      <c r="C65" s="5">
        <v>127.13537419457963</v>
      </c>
      <c r="D65" s="5">
        <v>78.435592121712773</v>
      </c>
      <c r="E65" s="5">
        <v>101.16461772406001</v>
      </c>
      <c r="F65" s="5">
        <v>96.73668719047015</v>
      </c>
      <c r="G65" s="5">
        <v>95.757056008126298</v>
      </c>
      <c r="H65" s="26"/>
    </row>
    <row r="66" spans="1:8" ht="20.100000000000001" customHeight="1" x14ac:dyDescent="0.2">
      <c r="A66" s="86"/>
      <c r="B66" s="14" t="s">
        <v>167</v>
      </c>
      <c r="C66" s="9">
        <v>100.985974853835</v>
      </c>
      <c r="D66" s="9">
        <v>80.94677071551574</v>
      </c>
      <c r="E66" s="9">
        <v>101.33850582038065</v>
      </c>
      <c r="F66" s="9">
        <v>97.318194020240455</v>
      </c>
      <c r="G66" s="9">
        <v>96.058030391542488</v>
      </c>
      <c r="H66" s="26"/>
    </row>
    <row r="67" spans="1:8" ht="20.100000000000001" customHeight="1" x14ac:dyDescent="0.2">
      <c r="A67" s="87"/>
      <c r="B67" s="18" t="s">
        <v>168</v>
      </c>
      <c r="C67" s="15">
        <v>93.20570226626036</v>
      </c>
      <c r="D67" s="15">
        <v>73.480200398144788</v>
      </c>
      <c r="E67" s="15">
        <v>101.28446475472941</v>
      </c>
      <c r="F67" s="15">
        <v>95.835699005622416</v>
      </c>
      <c r="G67" s="15">
        <v>94.226258033261672</v>
      </c>
      <c r="H67" s="26"/>
    </row>
    <row r="68" spans="1:8" ht="20.100000000000001" customHeight="1" x14ac:dyDescent="0.2">
      <c r="A68" s="85">
        <v>2017</v>
      </c>
      <c r="B68" s="12" t="s">
        <v>165</v>
      </c>
      <c r="C68" s="13">
        <v>98.996322826244338</v>
      </c>
      <c r="D68" s="13">
        <v>69.208197615391043</v>
      </c>
      <c r="E68" s="13">
        <v>98.496090380488866</v>
      </c>
      <c r="F68" s="13">
        <v>92.820889471590633</v>
      </c>
      <c r="G68" s="13">
        <v>91.34457155192284</v>
      </c>
      <c r="H68" s="26"/>
    </row>
    <row r="69" spans="1:8" ht="20.100000000000001" customHeight="1" x14ac:dyDescent="0.2">
      <c r="A69" s="86"/>
      <c r="B69" s="17" t="s">
        <v>166</v>
      </c>
      <c r="C69" s="5">
        <v>98.079202333540309</v>
      </c>
      <c r="D69" s="5">
        <v>74.400313116777951</v>
      </c>
      <c r="E69" s="5">
        <v>99.295011802397951</v>
      </c>
      <c r="F69" s="5">
        <v>94.422276178274345</v>
      </c>
      <c r="G69" s="5">
        <v>93.420794117404242</v>
      </c>
      <c r="H69" s="26"/>
    </row>
    <row r="70" spans="1:8" ht="20.100000000000001" customHeight="1" x14ac:dyDescent="0.2">
      <c r="A70" s="86"/>
      <c r="B70" s="14" t="s">
        <v>167</v>
      </c>
      <c r="C70" s="9">
        <v>81.096645529835669</v>
      </c>
      <c r="D70" s="9">
        <v>80.37687132441711</v>
      </c>
      <c r="E70" s="9">
        <v>100.01271042130003</v>
      </c>
      <c r="F70" s="9">
        <v>96.079182638216665</v>
      </c>
      <c r="G70" s="9">
        <v>94.870660863774845</v>
      </c>
      <c r="H70" s="26"/>
    </row>
    <row r="71" spans="1:8" ht="20.100000000000001" customHeight="1" x14ac:dyDescent="0.2">
      <c r="A71" s="87"/>
      <c r="B71" s="18" t="s">
        <v>168</v>
      </c>
      <c r="C71" s="15">
        <v>78.641295802668637</v>
      </c>
      <c r="D71" s="15">
        <v>74.06158405972829</v>
      </c>
      <c r="E71" s="15">
        <v>101.71626106614764</v>
      </c>
      <c r="F71" s="15">
        <v>96.298267915377735</v>
      </c>
      <c r="G71" s="15">
        <v>95.092146176774648</v>
      </c>
      <c r="H71" s="26"/>
    </row>
    <row r="72" spans="1:8" ht="20.100000000000001" customHeight="1" x14ac:dyDescent="0.2">
      <c r="A72" s="85">
        <v>2018</v>
      </c>
      <c r="B72" s="12" t="s">
        <v>165</v>
      </c>
      <c r="C72" s="13">
        <v>99.208890379407464</v>
      </c>
      <c r="D72" s="13">
        <v>69.21558441358043</v>
      </c>
      <c r="E72" s="13">
        <v>98.500969303792772</v>
      </c>
      <c r="F72" s="13">
        <v>92.827125672637308</v>
      </c>
      <c r="G72" s="13">
        <v>90.970675783302013</v>
      </c>
      <c r="H72" s="26"/>
    </row>
    <row r="73" spans="1:8" ht="20.100000000000001" customHeight="1" x14ac:dyDescent="0.2">
      <c r="A73" s="86"/>
      <c r="B73" s="17" t="s">
        <v>166</v>
      </c>
      <c r="C73" s="5">
        <v>100.60051052319163</v>
      </c>
      <c r="D73" s="5">
        <v>74.862049654128853</v>
      </c>
      <c r="E73" s="5">
        <v>99.951576134418133</v>
      </c>
      <c r="F73" s="5">
        <v>95.043685760807065</v>
      </c>
      <c r="G73" s="5">
        <v>93.831665154719147</v>
      </c>
      <c r="H73" s="26"/>
    </row>
    <row r="74" spans="1:8" ht="20.100000000000001" customHeight="1" x14ac:dyDescent="0.2">
      <c r="A74" s="86"/>
      <c r="B74" s="14" t="s">
        <v>167</v>
      </c>
      <c r="C74" s="9">
        <v>86.827274097910177</v>
      </c>
      <c r="D74" s="9">
        <v>78.589326816188091</v>
      </c>
      <c r="E74" s="9">
        <v>100.85126620264244</v>
      </c>
      <c r="F74" s="9">
        <v>96.439104081445592</v>
      </c>
      <c r="G74" s="9">
        <v>95.106363680787197</v>
      </c>
      <c r="H74" s="26"/>
    </row>
    <row r="75" spans="1:8" ht="20.100000000000001" customHeight="1" x14ac:dyDescent="0.2">
      <c r="A75" s="87"/>
      <c r="B75" s="18" t="s">
        <v>168</v>
      </c>
      <c r="C75" s="15">
        <v>85.803979938469695</v>
      </c>
      <c r="D75" s="15">
        <v>72.036191022350707</v>
      </c>
      <c r="E75" s="15">
        <v>104.07955897387886</v>
      </c>
      <c r="F75" s="15">
        <v>97.85562263756151</v>
      </c>
      <c r="G75" s="15">
        <v>96.503307276263129</v>
      </c>
      <c r="H75" s="26"/>
    </row>
    <row r="76" spans="1:8" ht="20.100000000000001" customHeight="1" x14ac:dyDescent="0.2">
      <c r="A76" s="85">
        <v>2019</v>
      </c>
      <c r="B76" s="12" t="s">
        <v>165</v>
      </c>
      <c r="C76" s="13">
        <v>130.48884485965888</v>
      </c>
      <c r="D76" s="13">
        <v>68.280473958321338</v>
      </c>
      <c r="E76" s="13">
        <v>100.88754907560896</v>
      </c>
      <c r="F76" s="13">
        <v>94.620788152611951</v>
      </c>
      <c r="G76" s="13">
        <v>92.352677389202086</v>
      </c>
      <c r="H76" s="26"/>
    </row>
    <row r="77" spans="1:8" ht="20.100000000000001" customHeight="1" x14ac:dyDescent="0.2">
      <c r="A77" s="86"/>
      <c r="B77" s="17" t="s">
        <v>166</v>
      </c>
      <c r="C77" s="5">
        <v>125.31320727772588</v>
      </c>
      <c r="D77" s="5">
        <v>75.222112378393845</v>
      </c>
      <c r="E77" s="5">
        <v>101.44451302706572</v>
      </c>
      <c r="F77" s="5">
        <v>96.354105231732774</v>
      </c>
      <c r="G77" s="5">
        <v>95.100728884014146</v>
      </c>
      <c r="H77" s="26"/>
    </row>
    <row r="78" spans="1:8" ht="20.100000000000001" customHeight="1" x14ac:dyDescent="0.2">
      <c r="A78" s="86"/>
      <c r="B78" s="14" t="s">
        <v>167</v>
      </c>
      <c r="C78" s="9">
        <v>109.48700154453722</v>
      </c>
      <c r="D78" s="9">
        <v>78.706031257060104</v>
      </c>
      <c r="E78" s="9">
        <v>103.01489638825564</v>
      </c>
      <c r="F78" s="9">
        <v>98.25386033130161</v>
      </c>
      <c r="G78" s="9">
        <v>97.013605933562715</v>
      </c>
      <c r="H78" s="26"/>
    </row>
    <row r="79" spans="1:8" ht="20.100000000000001" customHeight="1" x14ac:dyDescent="0.2">
      <c r="A79" s="87"/>
      <c r="B79" s="18" t="s">
        <v>168</v>
      </c>
      <c r="C79" s="15">
        <v>116.27099762790597</v>
      </c>
      <c r="D79" s="15">
        <v>72.104450573670718</v>
      </c>
      <c r="E79" s="15">
        <v>105.92275510563701</v>
      </c>
      <c r="F79" s="15">
        <v>99.394440051070362</v>
      </c>
      <c r="G79" s="15">
        <v>97.924407065171536</v>
      </c>
      <c r="H79" s="26"/>
    </row>
    <row r="80" spans="1:8" ht="20.100000000000001" customHeight="1" x14ac:dyDescent="0.2">
      <c r="A80" s="85">
        <v>2020</v>
      </c>
      <c r="B80" s="12" t="s">
        <v>165</v>
      </c>
      <c r="C80" s="13">
        <v>143.20543110930063</v>
      </c>
      <c r="D80" s="13">
        <v>68.015330731267838</v>
      </c>
      <c r="E80" s="13">
        <v>102.1282637604171</v>
      </c>
      <c r="F80" s="13">
        <v>95.625157478897322</v>
      </c>
      <c r="G80" s="13">
        <v>93.033067096894968</v>
      </c>
      <c r="H80" s="26"/>
    </row>
    <row r="81" spans="1:8" ht="20.100000000000001" customHeight="1" x14ac:dyDescent="0.2">
      <c r="A81" s="86"/>
      <c r="B81" s="17" t="s">
        <v>166</v>
      </c>
      <c r="C81" s="5">
        <v>147.75538296131722</v>
      </c>
      <c r="D81" s="5">
        <v>61.906699354252318</v>
      </c>
      <c r="E81" s="5">
        <v>98.888985169313472</v>
      </c>
      <c r="F81" s="5">
        <v>91.896950343139963</v>
      </c>
      <c r="G81" s="5">
        <v>88.735260967497638</v>
      </c>
      <c r="H81" s="26"/>
    </row>
    <row r="82" spans="1:8" ht="20.100000000000001" customHeight="1" x14ac:dyDescent="0.2">
      <c r="A82" s="86"/>
      <c r="B82" s="14" t="s">
        <v>167</v>
      </c>
      <c r="C82" s="9">
        <v>124.70321167350261</v>
      </c>
      <c r="D82" s="9">
        <v>78.015703138315743</v>
      </c>
      <c r="E82" s="9">
        <v>106.54637512302872</v>
      </c>
      <c r="F82" s="9">
        <v>100.99484637182913</v>
      </c>
      <c r="G82" s="9">
        <v>98.835086869456632</v>
      </c>
      <c r="H82" s="26"/>
    </row>
    <row r="83" spans="1:8" ht="20.100000000000001" customHeight="1" x14ac:dyDescent="0.2">
      <c r="A83" s="87"/>
      <c r="B83" s="18" t="s">
        <v>168</v>
      </c>
      <c r="C83" s="15">
        <v>128.33965787377332</v>
      </c>
      <c r="D83" s="15">
        <v>76.220725975652272</v>
      </c>
      <c r="E83" s="15">
        <v>112.37640567148804</v>
      </c>
      <c r="F83" s="15">
        <v>105.43626451363021</v>
      </c>
      <c r="G83" s="15">
        <v>103.21989098320887</v>
      </c>
      <c r="H83" s="26"/>
    </row>
    <row r="84" spans="1:8" ht="20.100000000000001" customHeight="1" x14ac:dyDescent="0.2">
      <c r="A84" s="85">
        <v>2021</v>
      </c>
      <c r="B84" s="12" t="s">
        <v>165</v>
      </c>
      <c r="C84" s="13">
        <v>148.74527009299868</v>
      </c>
      <c r="D84" s="13">
        <v>74.144189842372597</v>
      </c>
      <c r="E84" s="13">
        <v>109.35637610717822</v>
      </c>
      <c r="F84" s="13">
        <v>102.62747080403075</v>
      </c>
      <c r="G84" s="13">
        <v>99.981415299760258</v>
      </c>
      <c r="H84" s="26"/>
    </row>
    <row r="85" spans="1:8" ht="20.100000000000001" customHeight="1" x14ac:dyDescent="0.2">
      <c r="A85" s="86"/>
      <c r="B85" s="17" t="s">
        <v>166</v>
      </c>
      <c r="C85" s="5">
        <v>143.71342619962951</v>
      </c>
      <c r="D85" s="5">
        <v>75.510083426180415</v>
      </c>
      <c r="E85" s="5">
        <v>111.51508674392194</v>
      </c>
      <c r="F85" s="5">
        <v>104.62316057345008</v>
      </c>
      <c r="G85" s="5">
        <v>102.42647600879536</v>
      </c>
      <c r="H85" s="26"/>
    </row>
    <row r="86" spans="1:8" ht="20.100000000000001" customHeight="1" x14ac:dyDescent="0.2">
      <c r="A86" s="86"/>
      <c r="B86" s="14" t="s">
        <v>167</v>
      </c>
      <c r="C86" s="9">
        <v>115.94969044875587</v>
      </c>
      <c r="D86" s="9">
        <v>78.754536210668348</v>
      </c>
      <c r="E86" s="9">
        <v>113.79366370212993</v>
      </c>
      <c r="F86" s="9">
        <v>107.0435269469661</v>
      </c>
      <c r="G86" s="9">
        <v>104.78310868305262</v>
      </c>
      <c r="H86" s="26"/>
    </row>
    <row r="87" spans="1:8" ht="20.100000000000001" customHeight="1" x14ac:dyDescent="0.2">
      <c r="A87" s="87"/>
      <c r="B87" s="18" t="s">
        <v>168</v>
      </c>
      <c r="C87" s="15">
        <v>123.49763592660588</v>
      </c>
      <c r="D87" s="15">
        <v>70.9565477517598</v>
      </c>
      <c r="E87" s="15">
        <v>116.86572872813618</v>
      </c>
      <c r="F87" s="15">
        <v>108.03453647362925</v>
      </c>
      <c r="G87" s="15">
        <v>105.53381894707134</v>
      </c>
      <c r="H87" s="26"/>
    </row>
    <row r="88" spans="1:8" ht="20.100000000000001" customHeight="1" x14ac:dyDescent="0.2">
      <c r="A88" s="85">
        <v>2022</v>
      </c>
      <c r="B88" s="12" t="s">
        <v>165</v>
      </c>
      <c r="C88" s="13">
        <v>150.85627479081134</v>
      </c>
      <c r="D88" s="13">
        <v>68.996784475645811</v>
      </c>
      <c r="E88" s="13">
        <v>113.13231417395771</v>
      </c>
      <c r="F88" s="13">
        <v>104.56074369798652</v>
      </c>
      <c r="G88" s="13">
        <v>101.99202096308467</v>
      </c>
      <c r="H88" s="26"/>
    </row>
    <row r="89" spans="1:8" ht="20.100000000000001" customHeight="1" x14ac:dyDescent="0.2">
      <c r="A89" s="86"/>
      <c r="B89" s="17" t="s">
        <v>166</v>
      </c>
      <c r="C89" s="5">
        <v>143.1291866193778</v>
      </c>
      <c r="D89" s="5">
        <v>74.253299201454183</v>
      </c>
      <c r="E89" s="5">
        <v>115.88924591165733</v>
      </c>
      <c r="F89" s="5">
        <v>107.85394643455665</v>
      </c>
      <c r="G89" s="5">
        <v>105.63087742015108</v>
      </c>
      <c r="H89" s="26"/>
    </row>
    <row r="90" spans="1:8" ht="20.100000000000001" customHeight="1" x14ac:dyDescent="0.2">
      <c r="A90" s="86"/>
      <c r="B90" s="14" t="s">
        <v>167</v>
      </c>
      <c r="C90" s="9">
        <v>117.37525350915799</v>
      </c>
      <c r="D90" s="9">
        <v>79.871161735279856</v>
      </c>
      <c r="E90" s="9">
        <v>119.1922486677207</v>
      </c>
      <c r="F90" s="9">
        <v>111.63142753272291</v>
      </c>
      <c r="G90" s="9">
        <v>109.52765757246543</v>
      </c>
      <c r="H90" s="26"/>
    </row>
    <row r="91" spans="1:8" ht="20.100000000000001" customHeight="1" x14ac:dyDescent="0.2">
      <c r="A91" s="87"/>
      <c r="B91" s="18" t="s">
        <v>168</v>
      </c>
      <c r="C91" s="15">
        <v>121.79538227961648</v>
      </c>
      <c r="D91" s="15">
        <v>74.653320316281238</v>
      </c>
      <c r="E91" s="15">
        <v>123.31876889816193</v>
      </c>
      <c r="F91" s="15">
        <v>113.79690316535077</v>
      </c>
      <c r="G91" s="15">
        <v>111.35212463165082</v>
      </c>
      <c r="H91" s="26"/>
    </row>
    <row r="92" spans="1:8" ht="20.100000000000001" customHeight="1" x14ac:dyDescent="0.2">
      <c r="A92" s="85">
        <v>2023</v>
      </c>
      <c r="B92" s="12" t="s">
        <v>165</v>
      </c>
      <c r="C92" s="13">
        <v>126.52059765759994</v>
      </c>
      <c r="D92" s="13">
        <v>70.284648830958972</v>
      </c>
      <c r="E92" s="13">
        <v>119.04771060416726</v>
      </c>
      <c r="F92" s="13">
        <v>109.43654917519332</v>
      </c>
      <c r="G92" s="13">
        <v>106.04756328966768</v>
      </c>
      <c r="H92" s="26"/>
    </row>
    <row r="93" spans="1:8" ht="20.100000000000001" customHeight="1" x14ac:dyDescent="0.2">
      <c r="A93" s="86"/>
      <c r="B93" s="17" t="s">
        <v>166</v>
      </c>
      <c r="C93" s="5">
        <v>124.94722186323906</v>
      </c>
      <c r="D93" s="5">
        <v>76.432865618715894</v>
      </c>
      <c r="E93" s="5">
        <v>120.12826179079065</v>
      </c>
      <c r="F93" s="5">
        <v>111.6622282776255</v>
      </c>
      <c r="G93" s="5">
        <v>108.78074571226075</v>
      </c>
      <c r="H93" s="26"/>
    </row>
    <row r="94" spans="1:8" ht="20.100000000000001" customHeight="1" x14ac:dyDescent="0.2">
      <c r="A94" s="86"/>
      <c r="B94" s="14" t="s">
        <v>167</v>
      </c>
      <c r="C94" s="9">
        <v>90.244022036036498</v>
      </c>
      <c r="D94" s="9">
        <v>81.157402489986751</v>
      </c>
      <c r="E94" s="9">
        <v>121.55035466388883</v>
      </c>
      <c r="F94" s="9">
        <v>113.80266141190982</v>
      </c>
      <c r="G94" s="9">
        <v>110.57310212082056</v>
      </c>
      <c r="H94" s="26"/>
    </row>
    <row r="95" spans="1:8" ht="20.100000000000001" customHeight="1" x14ac:dyDescent="0.2">
      <c r="A95" s="87"/>
      <c r="B95" s="18" t="s">
        <v>168</v>
      </c>
      <c r="C95" s="15">
        <v>103.30204831126883</v>
      </c>
      <c r="D95" s="15">
        <v>74.898137097844213</v>
      </c>
      <c r="E95" s="15">
        <v>125.51735647532081</v>
      </c>
      <c r="F95" s="15">
        <v>115.53049556437031</v>
      </c>
      <c r="G95" s="15">
        <v>112.54532282359543</v>
      </c>
      <c r="H95" s="26"/>
    </row>
    <row r="96" spans="1:8" ht="20.100000000000001" customHeight="1" x14ac:dyDescent="0.2">
      <c r="A96" s="85">
        <v>2024</v>
      </c>
      <c r="B96" s="12" t="s">
        <v>165</v>
      </c>
      <c r="C96" s="13">
        <v>126.32997117580715</v>
      </c>
      <c r="D96" s="13">
        <v>74.056391554548711</v>
      </c>
      <c r="E96" s="13">
        <v>122.22875575659832</v>
      </c>
      <c r="F96" s="13">
        <v>112.80289105631236</v>
      </c>
      <c r="G96" s="13">
        <v>109.66549142002152</v>
      </c>
      <c r="H96" s="26"/>
    </row>
    <row r="97" spans="1:8" ht="20.100000000000001" customHeight="1" x14ac:dyDescent="0.2">
      <c r="A97" s="86"/>
      <c r="B97" s="17" t="s">
        <v>166</v>
      </c>
      <c r="C97" s="5">
        <v>115.65630727808868</v>
      </c>
      <c r="D97" s="5">
        <v>82.710547486611134</v>
      </c>
      <c r="E97" s="5">
        <v>125.46820150832734</v>
      </c>
      <c r="F97" s="5">
        <v>117.20249854628327</v>
      </c>
      <c r="G97" s="5">
        <v>114.69353073099033</v>
      </c>
      <c r="H97" s="26"/>
    </row>
    <row r="98" spans="1:8" ht="20.100000000000001" customHeight="1" x14ac:dyDescent="0.2">
      <c r="A98" s="86"/>
      <c r="B98" s="14" t="s">
        <v>167</v>
      </c>
      <c r="C98" s="9">
        <v>86.661094171530394</v>
      </c>
      <c r="D98" s="9">
        <v>84.453901962001382</v>
      </c>
      <c r="E98" s="9">
        <v>128.20646448949347</v>
      </c>
      <c r="F98" s="9">
        <v>119.71997135988352</v>
      </c>
      <c r="G98" s="9">
        <v>116.46699531604308</v>
      </c>
      <c r="H98" s="26"/>
    </row>
    <row r="99" spans="1:8" ht="20.100000000000001" customHeight="1" x14ac:dyDescent="0.2">
      <c r="A99" s="87"/>
      <c r="B99" s="18" t="s">
        <v>168</v>
      </c>
      <c r="C99" s="15">
        <v>107.8858787572553</v>
      </c>
      <c r="D99" s="15">
        <v>76.568980493941908</v>
      </c>
      <c r="E99" s="15">
        <v>130.8534455340201</v>
      </c>
      <c r="F99" s="15">
        <v>120.16222266221969</v>
      </c>
      <c r="G99" s="15">
        <v>116.86054598767301</v>
      </c>
      <c r="H99" s="26"/>
    </row>
    <row r="100" spans="1:8" ht="20.100000000000001" customHeight="1" x14ac:dyDescent="0.25">
      <c r="A100" s="27" t="s">
        <v>164</v>
      </c>
      <c r="B100" s="21"/>
      <c r="C100" s="21"/>
      <c r="D100" s="21"/>
      <c r="E100" s="21"/>
      <c r="F100" s="21"/>
      <c r="G100" s="21"/>
    </row>
    <row r="101" spans="1:8" ht="20.100000000000001" customHeight="1" x14ac:dyDescent="0.25">
      <c r="A101" s="20" t="s">
        <v>50</v>
      </c>
    </row>
    <row r="102" spans="1:8" ht="20.100000000000001" customHeight="1" x14ac:dyDescent="0.2"/>
    <row r="103" spans="1:8" ht="20.100000000000001" customHeight="1" x14ac:dyDescent="0.2"/>
    <row r="104" spans="1:8" ht="20.100000000000001" customHeight="1" x14ac:dyDescent="0.2"/>
  </sheetData>
  <mergeCells count="27">
    <mergeCell ref="A52:A55"/>
    <mergeCell ref="A56:A59"/>
    <mergeCell ref="A60:A63"/>
    <mergeCell ref="A88:A91"/>
    <mergeCell ref="A92:A95"/>
    <mergeCell ref="A64:A67"/>
    <mergeCell ref="A68:A71"/>
    <mergeCell ref="A72:A75"/>
    <mergeCell ref="A76:A79"/>
    <mergeCell ref="A80:A83"/>
    <mergeCell ref="A84:A87"/>
    <mergeCell ref="A96:A99"/>
    <mergeCell ref="A5:G5"/>
    <mergeCell ref="A32:A35"/>
    <mergeCell ref="A28:A31"/>
    <mergeCell ref="A8:A11"/>
    <mergeCell ref="A12:A15"/>
    <mergeCell ref="A16:A19"/>
    <mergeCell ref="A20:A23"/>
    <mergeCell ref="A24:A27"/>
    <mergeCell ref="G6:G7"/>
    <mergeCell ref="A36:A39"/>
    <mergeCell ref="A6:B7"/>
    <mergeCell ref="C6:F6"/>
    <mergeCell ref="A40:A43"/>
    <mergeCell ref="A44:A47"/>
    <mergeCell ref="A48:A5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CE65319137AB4CBB03B40940BB236E" ma:contentTypeVersion="17" ma:contentTypeDescription="Crie um novo documento." ma:contentTypeScope="" ma:versionID="6ac6855bb9982be6af4b785149dca6a0">
  <xsd:schema xmlns:xsd="http://www.w3.org/2001/XMLSchema" xmlns:xs="http://www.w3.org/2001/XMLSchema" xmlns:p="http://schemas.microsoft.com/office/2006/metadata/properties" xmlns:ns2="48e16a31-8b77-489a-a694-5840ccfaa4de" xmlns:ns3="5b95ca71-5855-4471-bfa6-853162053cde" targetNamespace="http://schemas.microsoft.com/office/2006/metadata/properties" ma:root="true" ma:fieldsID="ae4ad19fa19d7867406126c92f0c3658" ns2:_="" ns3:_="">
    <xsd:import namespace="48e16a31-8b77-489a-a694-5840ccfaa4de"/>
    <xsd:import namespace="5b95ca71-5855-4471-bfa6-853162053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16a31-8b77-489a-a694-5840ccfaa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5ca71-5855-4471-bfa6-853162053c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17d5259-5616-4796-a0e0-e395734f3295}" ma:internalName="TaxCatchAll" ma:showField="CatchAllData" ma:web="5b95ca71-5855-4471-bfa6-853162053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b95ca71-5855-4471-bfa6-853162053cde">
      <UserInfo>
        <DisplayName/>
        <AccountId xsi:nil="true"/>
        <AccountType/>
      </UserInfo>
    </SharedWithUsers>
    <lcf76f155ced4ddcb4097134ff3c332f xmlns="48e16a31-8b77-489a-a694-5840ccfaa4de">
      <Terms xmlns="http://schemas.microsoft.com/office/infopath/2007/PartnerControls"/>
    </lcf76f155ced4ddcb4097134ff3c332f>
    <TaxCatchAll xmlns="5b95ca71-5855-4471-bfa6-853162053cde" xsi:nil="true"/>
  </documentManagement>
</p:properties>
</file>

<file path=customXml/itemProps1.xml><?xml version="1.0" encoding="utf-8"?>
<ds:datastoreItem xmlns:ds="http://schemas.openxmlformats.org/officeDocument/2006/customXml" ds:itemID="{EC701E3B-17A3-4938-996D-FDBDA35F6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16a31-8b77-489a-a694-5840ccfaa4de"/>
    <ds:schemaRef ds:uri="5b95ca71-5855-4471-bfa6-853162053c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27A245-BC09-4653-BBA7-038F0706A5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15A7F-5A7B-41F1-B6D8-A63EAED85785}">
  <ds:schemaRefs>
    <ds:schemaRef ds:uri="http://schemas.microsoft.com/office/2006/metadata/properties"/>
    <ds:schemaRef ds:uri="http://schemas.microsoft.com/office/infopath/2007/PartnerControls"/>
    <ds:schemaRef ds:uri="5b95ca71-5855-4471-bfa6-853162053cde"/>
    <ds:schemaRef ds:uri="48e16a31-8b77-489a-a694-5840ccfaa4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Análise de dados</vt:lpstr>
      <vt:lpstr>Tabela 1</vt:lpstr>
      <vt:lpstr>Tabela 2</vt:lpstr>
      <vt:lpstr>Tabela 17.1</vt:lpstr>
      <vt:lpstr>Tabela 17.2</vt:lpstr>
      <vt:lpstr>Tabela 17.7</vt:lpstr>
      <vt:lpstr>Tabela 17.8</vt:lpstr>
      <vt:lpstr>Tabela 17.9</vt:lpstr>
      <vt:lpstr>Tabela 20.2</vt:lpstr>
      <vt:lpstr>Tabela 20.3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OdeteSalsa</dc:creator>
  <cp:keywords/>
  <dc:description/>
  <cp:lastModifiedBy>Davi Rodrigues Magalhaes</cp:lastModifiedBy>
  <cp:revision/>
  <dcterms:created xsi:type="dcterms:W3CDTF">2017-03-02T14:46:50Z</dcterms:created>
  <dcterms:modified xsi:type="dcterms:W3CDTF">2026-04-15T17:17:15Z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0x01010004CE65319137AB4CBB03B40940BB236E</vt:lpwstr>
  </property>
  <property fmtid="{D5CDD505-2E9C-101B-9397-08002B2CF9AE}" pid="3" name="_dlc_DocIdItemGuid">
    <vt:lpwstr>2079c46d-1949-46c6-8150-c7fcd09b9954</vt:lpwstr>
  </property>
  <property fmtid="{D5CDD505-2E9C-101B-9397-08002B2CF9AE}" pid="4" name="Order">
    <vt:r8>4626000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DocId">
    <vt:lpwstr>QNYTQTMSTUU7-1132170391-46260</vt:lpwstr>
  </property>
  <property fmtid="{D5CDD505-2E9C-101B-9397-08002B2CF9AE}" pid="8" name="TriggerFlowInfo">
    <vt:lpwstr/>
  </property>
  <property fmtid="{D5CDD505-2E9C-101B-9397-08002B2CF9AE}" pid="9" name="Migração">
    <vt:lpwstr>;#Transferência concluida;#</vt:lpwstr>
  </property>
  <property fmtid="{D5CDD505-2E9C-101B-9397-08002B2CF9AE}" pid="10" name="_dlc_DocIdUrl">
    <vt:lpwstr>https://governosp.sharepoint.com/sites/seade-gecon/_layouts/15/DocIdRedir.aspx?ID=QNYTQTMSTUU7-1132170391-46260, QNYTQTMSTUU7-1132170391-46260</vt:lpwstr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MediaServiceImageTags">
    <vt:lpwstr/>
  </property>
</Properties>
</file>